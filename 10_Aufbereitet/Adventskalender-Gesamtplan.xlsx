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Gesamtplan" sheetId="2" state="visible" r:id="rId4"/>
    <sheet name="Termine" sheetId="3" state="visible" r:id="rId5"/>
    <sheet name="Werbung" sheetId="4" state="visible" r:id="rId6"/>
    <sheet name="Offene Fragen" sheetId="5" state="visible" r:id="rId7"/>
  </sheets>
  <definedNames>
    <definedName function="false" hidden="true" localSheetId="1" name="_xlnm._FilterDatabase" vbProcedure="false">Gesamtplan!$A$1:$M$157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<sst xmlns="http://schemas.openxmlformats.org/spreadsheetml/2006/main" count="1261" uniqueCount="438">
  <si>
    <t xml:space="preserve">Adventskalender 2026 – Übersicht</t>
  </si>
  <si>
    <t xml:space="preserve">Heute:</t>
  </si>
  <si>
    <t xml:space="preserve">Verkauf live (29.10.) in Tagen:</t>
  </si>
  <si>
    <t xml:space="preserve">Early Bird endet (15.11.) in Tagen:</t>
  </si>
  <si>
    <t xml:space="preserve">Kalender startet (1.12.) in Tagen:</t>
  </si>
  <si>
    <t xml:space="preserve">Aufgaben gesamt / erledigt / offen:</t>
  </si>
  <si>
    <t xml:space="preserve">Überfällig:</t>
  </si>
  <si>
    <t xml:space="preserve">Bald fällig (2 Tage):</t>
  </si>
  <si>
    <t xml:space="preserve">Bereich</t>
  </si>
  <si>
    <t xml:space="preserve">Aufgaben</t>
  </si>
  <si>
    <t xml:space="preserve">erledigt</t>
  </si>
  <si>
    <t xml:space="preserve">offen</t>
  </si>
  <si>
    <t xml:space="preserve">überfällig</t>
  </si>
  <si>
    <t xml:space="preserve">Orga &amp; Budget</t>
  </si>
  <si>
    <t xml:space="preserve">Produktion</t>
  </si>
  <si>
    <t xml:space="preserve">Shop &amp; Technik</t>
  </si>
  <si>
    <t xml:space="preserve">Warteliste &amp; Mail</t>
  </si>
  <si>
    <t xml:space="preserve">Werbung organisch</t>
  </si>
  <si>
    <t xml:space="preserve">Werbung bezahlt</t>
  </si>
  <si>
    <t xml:space="preserve">Gewinnspiel</t>
  </si>
  <si>
    <t xml:space="preserve">Recht &amp; Rechte</t>
  </si>
  <si>
    <t xml:space="preserve">Korea &amp; USA</t>
  </si>
  <si>
    <t xml:space="preserve">Betrieb Dezember</t>
  </si>
  <si>
    <t xml:space="preserve">Summe</t>
  </si>
  <si>
    <t xml:space="preserve">So benutzt du die Tabelle</t>
  </si>
  <si>
    <t xml:space="preserve">Blatt „Gesamtplan“: alle Aufgaben nach Frist sortiert. Spalte Status per Auswahlliste ändern (offen, in Arbeit, erledigt, wartet, verschoben).</t>
  </si>
  <si>
    <t xml:space="preserve">Gelb markiert in der Spalte Herkunft = Vorschlag von Claude (❓), noch nicht entschieden. Ändere Datum, Wer oder Inhalt einfach direkt.</t>
  </si>
  <si>
    <t xml:space="preserve">Spalte Warnung zeigt ÜBERFÄLLIG (rot) und bald fällig (orange) automatisch anhand des heutigen Datums.</t>
  </si>
  <si>
    <t xml:space="preserve">Blatt „Termine“: die harten Fristen. Blatt „Werbung“: die Werbephasen. Blatt „Offene Fragen“: was Claude von dir braucht.</t>
  </si>
  <si>
    <t xml:space="preserve">Quelle: Beschlüsse von Jannik (24.10.2026) und Vault-Notizen. Alles mit Herkunft „Vorschlag ❓“ ist eine Annahme von Claude.</t>
  </si>
  <si>
    <t xml:space="preserve">Beispiel einer eigenen Zeile: Nr 999 | Werbung organisch | Reel mit Hinweis posten | 05.11.2026 | 06.11.2026 | Jannik | offen | mittel | Teaser | Vorschlag ❓ | Notiz</t>
  </si>
  <si>
    <t xml:space="preserve">Nr</t>
  </si>
  <si>
    <t xml:space="preserve">Aufgabe</t>
  </si>
  <si>
    <t xml:space="preserve">Start</t>
  </si>
  <si>
    <t xml:space="preserve">Frist</t>
  </si>
  <si>
    <t xml:space="preserve">Tag</t>
  </si>
  <si>
    <t xml:space="preserve">Wer</t>
  </si>
  <si>
    <t xml:space="preserve">Status</t>
  </si>
  <si>
    <t xml:space="preserve">Priorität</t>
  </si>
  <si>
    <t xml:space="preserve">Braucht / Abhängigkeit</t>
  </si>
  <si>
    <t xml:space="preserve">Herkunft</t>
  </si>
  <si>
    <t xml:space="preserve">Notiz</t>
  </si>
  <si>
    <t xml:space="preserve">Warnung</t>
  </si>
  <si>
    <t xml:space="preserve">Warteliste auf der Website erstellt und freigeschaltet</t>
  </si>
  <si>
    <t xml:space="preserve">Jannik</t>
  </si>
  <si>
    <t xml:space="preserve">mittel</t>
  </si>
  <si>
    <t xml:space="preserve">Beschluss Jannik</t>
  </si>
  <si>
    <t xml:space="preserve">Brevo-Warteliste erstellt, Double-Opt-In aktiv</t>
  </si>
  <si>
    <t xml:space="preserve">3 Videos gedreht: I will follow him, Herbei oh ihr Gläubigen, Fill my cup Lord</t>
  </si>
  <si>
    <t xml:space="preserve">Jannik/David</t>
  </si>
  <si>
    <t xml:space="preserve">YouTube-Kommentar-Auswahl-Tool ausgesucht</t>
  </si>
  <si>
    <t xml:space="preserve">Gewerbemeldebestätigung für TikTok besorgt</t>
  </si>
  <si>
    <t xml:space="preserve">Altliste geprüft: Newsletter mit Konzerten 2027 + Warteliste-Hinweis erlaubt</t>
  </si>
  <si>
    <t xml:space="preserve">Konzept, Preise (25 € / 29,99 €), Ablauf, Lose-Modell (1 / 2 Lose), Termine festgelegt</t>
  </si>
  <si>
    <t xml:space="preserve">Vault aufgebaut: Planung, Songtabelle, Drehplan, Texte, Impressum, Rechts-Briefing</t>
  </si>
  <si>
    <t xml:space="preserve">Claude</t>
  </si>
  <si>
    <t xml:space="preserve">Claude erledigt</t>
  </si>
  <si>
    <t xml:space="preserve">Teilnahmebedingungen und Ziehungs-Skript (Entwurf) erstellt</t>
  </si>
  <si>
    <t xml:space="preserve">Landingpage-Text und 7 Brevo-Mails (Deutsch, Entwurf) geschrieben</t>
  </si>
  <si>
    <t xml:space="preserve">Liedliste (alle Lieder, auch die neuen) in den Chat schicken</t>
  </si>
  <si>
    <t xml:space="preserve">hoch</t>
  </si>
  <si>
    <t xml:space="preserve">Blocker</t>
  </si>
  <si>
    <t xml:space="preserve">Konzertseiten-Text (Konzerte 2027) in den Chat kopieren</t>
  </si>
  <si>
    <t xml:space="preserve">Claude kann die Homepage nicht öffnen.</t>
  </si>
  <si>
    <t xml:space="preserve">Landingpage-Link oder -Text der aktuellen Warteliste schicken</t>
  </si>
  <si>
    <t xml:space="preserve">Homepage-Konzertseite: Zugriff für Claude klären (kein Browser in dieser Sitzung); Text kopieren</t>
  </si>
  <si>
    <t xml:space="preserve">Claude hat in dieser Sitzung keinen Browser-Zugang.</t>
  </si>
  <si>
    <t xml:space="preserve">Team festlegen: wer macht was, wie viele Stunden pro Woche</t>
  </si>
  <si>
    <t xml:space="preserve">Jannik + Eltern</t>
  </si>
  <si>
    <t xml:space="preserve">Ohne Zuständigkeiten stockt alles. Jannik 20 Std./Woche (Social Media, Warteliste, Website/Shop, Konzerte, Videoschnitt). Mutter: Videodreh. Vater: vor der Kamera. Eltern zusammen ca. 10 Std./Woche.</t>
  </si>
  <si>
    <t xml:space="preserve">Dreh-Termine mit David festlegen (Studio Paraguay, ganze Blöcke)</t>
  </si>
  <si>
    <t xml:space="preserve">Jannik + David</t>
  </si>
  <si>
    <t xml:space="preserve">21 Videos offen, bis 15.11.</t>
  </si>
  <si>
    <t xml:space="preserve">Zugangssystem entscheiden: Plugin im Shop oder eigener Server? Wer baut es?</t>
  </si>
  <si>
    <t xml:space="preserve">Admin-Zugang, Pluginliste</t>
  </si>
  <si>
    <t xml:space="preserve">Größtes Risiko für Do 29.10.</t>
  </si>
  <si>
    <t xml:space="preserve">Admin-Zugang und Umsetzer klären (WordPress/WooCommerce)</t>
  </si>
  <si>
    <t xml:space="preserve">Absender in Brevo festlegen (Name und Adresse)</t>
  </si>
  <si>
    <t xml:space="preserve">Jannik nennt ihn später.</t>
  </si>
  <si>
    <t xml:space="preserve">GEMA und Labels anfragen (Songtabelle, Mail-Entwurf im Vault)</t>
  </si>
  <si>
    <t xml:space="preserve">Liedliste final</t>
  </si>
  <si>
    <t xml:space="preserve">Antworten dauern Wochen, deshalb sofort.</t>
  </si>
  <si>
    <t xml:space="preserve">GEMA: Lizenz für Bezahlseite auf eigener Webseite klären</t>
  </si>
  <si>
    <t xml:space="preserve">Vorschlag ❓ (Claude)</t>
  </si>
  <si>
    <t xml:space="preserve">Mama erinnern: koreanische Community und Mr. Lee ansprechen</t>
  </si>
  <si>
    <t xml:space="preserve">Kalendereintrag Mo 26.10. angelegt.</t>
  </si>
  <si>
    <t xml:space="preserve">Videoformat entscheiden (16:9 für den Kalender, Kurzvideos hochkant)</t>
  </si>
  <si>
    <t xml:space="preserve">16:9 für den Kalender.</t>
  </si>
  <si>
    <t xml:space="preserve">Gesamtbudget festlegen (Tools, Werbung, Preise, Rechtsprüfung, Porto)</t>
  </si>
  <si>
    <t xml:space="preserve">Jannik wollte nachfragen.</t>
  </si>
  <si>
    <t xml:space="preserve">Songs final festlegen: 10 Lied-Videos + 4 Musikvideos, Playback eigen oder fremd</t>
  </si>
  <si>
    <t xml:space="preserve">Liedliste</t>
  </si>
  <si>
    <t xml:space="preserve">Produkt „Adventskalender 2026“ im Shop anlegen (25 €, ab 16.11. 29,99 €)</t>
  </si>
  <si>
    <t xml:space="preserve">Zugangssystem</t>
  </si>
  <si>
    <t xml:space="preserve">Aktionspreis zeitlich planen (❓ prüfen).</t>
  </si>
  <si>
    <t xml:space="preserve">PayPal im Shop prüfen, weitere Zahlarten klären</t>
  </si>
  <si>
    <t xml:space="preserve">Werbeplan (Kanäle, Rhythmus, Botschaften) final abstimmen</t>
  </si>
  <si>
    <t xml:space="preserve">Jannik + Claude</t>
  </si>
  <si>
    <t xml:space="preserve">Budget</t>
  </si>
  <si>
    <t xml:space="preserve">Siehe Blatt „Werbung“.</t>
  </si>
  <si>
    <t xml:space="preserve">Teaser-Ausschnitte festlegen (welche Videos/Lieder dürfen öffentlich?)</t>
  </si>
  <si>
    <t xml:space="preserve">Rechteklärung bei geschützten Liedern</t>
  </si>
  <si>
    <t xml:space="preserve">Werbebudget und Rahmen festlegen (Beispiel: 300–600 € ❓)</t>
  </si>
  <si>
    <t xml:space="preserve">Gesamtbudget</t>
  </si>
  <si>
    <t xml:space="preserve">Bisher nicht eingeplant. Zahl ist nur ein Platzhalter.</t>
  </si>
  <si>
    <t xml:space="preserve">Teaser nur mit rechtefreien oder geklärten Liedern veröffentlichen</t>
  </si>
  <si>
    <t xml:space="preserve">Geschützte Titel: erst klären.</t>
  </si>
  <si>
    <t xml:space="preserve">Kapazität prüfen: Schnittaufwand pro Video festlegen (Jannik 20 Std./Woche für Social Media, Shop, Warteliste, Schnitt)</t>
  </si>
  <si>
    <t xml:space="preserve">Risiko: 24 Videos, tägliche Posts und Shop-Aufbau in 3 Wochen. Videoagent für Rohschnitt nutzen, Vorlagen für Titel/Untertitel.</t>
  </si>
  <si>
    <t xml:space="preserve">10 Geschichten-Themen mit David abstimmen und festlegen</t>
  </si>
  <si>
    <t xml:space="preserve">Themenvorschläge in [[Adventskalender-Drehplan]]</t>
  </si>
  <si>
    <t xml:space="preserve">Dreh-Block A: Lieder (gleiche Kameraposition), 4 Videos</t>
  </si>
  <si>
    <t xml:space="preserve">Mutter (Kamera) + David</t>
  </si>
  <si>
    <t xml:space="preserve">Terminfreigabe David</t>
  </si>
  <si>
    <t xml:space="preserve">Termin ❓ nur Vorschlag.</t>
  </si>
  <si>
    <t xml:space="preserve">Shop-Hinweise: Start 1.12., täglich ein Türchen, späte Käufer sehen alles</t>
  </si>
  <si>
    <t xml:space="preserve">Bestellmail mit persönlichem Zugangslink einrichten</t>
  </si>
  <si>
    <t xml:space="preserve">Landingpage Deutsch veröffentlichen (mit Warteliste und Kaufen-Button)</t>
  </si>
  <si>
    <t xml:space="preserve">Link/Text der Warteliste-Seite</t>
  </si>
  <si>
    <t xml:space="preserve">Brevo: Mails 1–3 einrichten (Bestätigung, Willkommen, Verkaufsstart)</t>
  </si>
  <si>
    <t xml:space="preserve">Absender, Texte</t>
  </si>
  <si>
    <t xml:space="preserve">Links in Bios setzen (Instagram, TikTok Business-Konto, Facebook, YouTube) auf Landingpage</t>
  </si>
  <si>
    <t xml:space="preserve">Landingpage</t>
  </si>
  <si>
    <t xml:space="preserve">Notion-Plan</t>
  </si>
  <si>
    <t xml:space="preserve">Nur der Bio-Link ist klickbar.</t>
  </si>
  <si>
    <t xml:space="preserve">Ankündigungs-Posts Warteliste (Instagram, TikTok, Facebook, YouTube Community)</t>
  </si>
  <si>
    <t xml:space="preserve">Teaser</t>
  </si>
  <si>
    <t xml:space="preserve">Rechtsprüfung beauftragen (Fachanwalt oder Kanzlei, mit Briefing)</t>
  </si>
  <si>
    <t xml:space="preserve">Briefing im Vault</t>
  </si>
  <si>
    <t xml:space="preserve">Briefing: [[Adventskalender-Rechtsklaerung-Gewinnspiel]]</t>
  </si>
  <si>
    <t xml:space="preserve">Impressum, Datenschutzerklärung, Widerruf auf Landingpage und Kalenderseite prüfen</t>
  </si>
  <si>
    <t xml:space="preserve">Jannik + Extern</t>
  </si>
  <si>
    <t xml:space="preserve">Festlegen: welche Videos bekommen englische und koreanische Fassung (Voice-Over/Untertitel)?</t>
  </si>
  <si>
    <t xml:space="preserve">Jannik: USA/Korea jetzt planen. Alle Videos, die keine Musik sind (Geschichten, Brief an die Zuschauer): englische und koreanische Fassung.</t>
  </si>
  <si>
    <t xml:space="preserve">Länderliste (11 Länder) von der Kanzlei prüfen lassen: DE, NL, CZ, FR, CH, AT, LU, BE, Südkorea, USA, Paraguay</t>
  </si>
  <si>
    <t xml:space="preserve">Briefing</t>
  </si>
  <si>
    <t xml:space="preserve">Versand und Zoll je Land klären.</t>
  </si>
  <si>
    <t xml:space="preserve">Look abstimmen (hellbraun, rot, grün), Setting, Kleidung</t>
  </si>
  <si>
    <t xml:space="preserve">Abstimmung mit David offen.</t>
  </si>
  <si>
    <t xml:space="preserve">TESTKAUF mit Zugangslink-Mail durchführen</t>
  </si>
  <si>
    <t xml:space="preserve">Alles oben</t>
  </si>
  <si>
    <t xml:space="preserve">KAUFEN-BUTTON LIVE (spätester Termin)</t>
  </si>
  <si>
    <t xml:space="preserve">Testkauf</t>
  </si>
  <si>
    <t xml:space="preserve">DEADLINE Donnerstag 29.10.</t>
  </si>
  <si>
    <t xml:space="preserve">Newsletter an Altliste schreiben (Konzerte 2027 + Kalender)</t>
  </si>
  <si>
    <t xml:space="preserve">Konzertseiten-Text</t>
  </si>
  <si>
    <t xml:space="preserve">Verkaufsstart-Mail an die Warteliste senden</t>
  </si>
  <si>
    <t xml:space="preserve">Kaufen-Button live</t>
  </si>
  <si>
    <t xml:space="preserve">Teaser-Clips schneiden (hochkant 30–45 Sek.) für Instagram, TikTok, Shorts</t>
  </si>
  <si>
    <t xml:space="preserve">Jannik + Videoagent</t>
  </si>
  <si>
    <t xml:space="preserve">Ausschnitte</t>
  </si>
  <si>
    <t xml:space="preserve">LAUNCH-Posts auf allen Kanälen: Kalender ist kaufbar (Reel, Story, TikTok, FB, YT-Community)</t>
  </si>
  <si>
    <t xml:space="preserve">AGB und Widerruf für digitale Inhalte mit späterem Start prüfen lassen</t>
  </si>
  <si>
    <t xml:space="preserve">Skript „Brief an die Zuschauer“ schreiben</t>
  </si>
  <si>
    <t xml:space="preserve">Themen</t>
  </si>
  <si>
    <t xml:space="preserve">Storyboards für die 4 Musikvideos (Real + Higgsfield)</t>
  </si>
  <si>
    <t xml:space="preserve">Claude + Jannik</t>
  </si>
  <si>
    <t xml:space="preserve">Songs final</t>
  </si>
  <si>
    <t xml:space="preserve">Dreh-Block B: Lieder + erste Geschichten</t>
  </si>
  <si>
    <t xml:space="preserve">Termin ❓</t>
  </si>
  <si>
    <t xml:space="preserve">Videohoster und Unterdomain wählen (z. B. advent.davids-panparadies.de)</t>
  </si>
  <si>
    <t xml:space="preserve">Newsletter an die Altliste versenden</t>
  </si>
  <si>
    <t xml:space="preserve">Meta-Business- und Anzeigenkonto prüfen/einrichten (Instagram + Facebook)</t>
  </si>
  <si>
    <t xml:space="preserve">Zahlungsmittel</t>
  </si>
  <si>
    <t xml:space="preserve">Tracking und Einwilligung (Cookie-Banner, Pixel) rechtlich prüfen, UTM-Links erstellen</t>
  </si>
  <si>
    <t xml:space="preserve">Datenschutz</t>
  </si>
  <si>
    <t xml:space="preserve">YouTube: Link zum Kalender in die Beschreibung der meistgesehenen Videos + angepinnter Kommentar</t>
  </si>
  <si>
    <t xml:space="preserve">Kanal hat ca. 127.900 Abos, stärkste Reichweite.</t>
  </si>
  <si>
    <t xml:space="preserve">Anzeigen-Texte und -Bilder erstellen (Deutsch)</t>
  </si>
  <si>
    <t xml:space="preserve">WhatsApp-Broadcast / Familie, Freunde, Gemeinden bitten zu teilen</t>
  </si>
  <si>
    <t xml:space="preserve">Facebook-Seite DavidsPanfloete: Launch-Post + Hinweis in Gruppen (nur wo erlaubt)</t>
  </si>
  <si>
    <t xml:space="preserve">Koreanische Übersetzerin einplanen (Texte, Voice-Over, Zeitfenster)</t>
  </si>
  <si>
    <t xml:space="preserve">Wöchentlicher Stand-Check mit den Eltern (Sonntag): Videos, Verkauf, Werbung</t>
  </si>
  <si>
    <t xml:space="preserve">Termin und Rhythmus ❓ anpassen.</t>
  </si>
  <si>
    <t xml:space="preserve">Higgsfield: Bedingungen und Preise prüfen, dann 3-Tage-Test</t>
  </si>
  <si>
    <t xml:space="preserve">Bedingungen vorher lesen</t>
  </si>
  <si>
    <t xml:space="preserve">Kosten pro Clip notieren.</t>
  </si>
  <si>
    <t xml:space="preserve">Brevo: Käufer taggen (Etikett „Käufer“), Warteliste und Käufer trennen</t>
  </si>
  <si>
    <t xml:space="preserve">Shop-Anbindung</t>
  </si>
  <si>
    <t xml:space="preserve">Dreh-Block C: Geschichten</t>
  </si>
  <si>
    <t xml:space="preserve">GEMA/Label nachfassen</t>
  </si>
  <si>
    <t xml:space="preserve">Teilnahmebedingungen: Platzhalter ausfüllen (Länder, Alter, Uhrzeit, Plattform)</t>
  </si>
  <si>
    <t xml:space="preserve">in Arbeit</t>
  </si>
  <si>
    <t xml:space="preserve">Entscheidungen</t>
  </si>
  <si>
    <t xml:space="preserve">Entschieden: Mindestalter 18, Länderliste (11 Länder), Live auf YouTube um 14 Uhr DE, Kauf zählt ab Verkaufsstart bis Ziehungsbeginn. Offen: Anschriftsformulierung, Zoll.</t>
  </si>
  <si>
    <t xml:space="preserve">Dreh-Block D: Geschichten</t>
  </si>
  <si>
    <t xml:space="preserve">Englische Landingpage und Mails schreiben</t>
  </si>
  <si>
    <t xml:space="preserve">Deutsche Texte final</t>
  </si>
  <si>
    <t xml:space="preserve">Cron-Job auf der Website zweckbestimmen und aktivieren (z. B. tägliche Mail)</t>
  </si>
  <si>
    <t xml:space="preserve">Bestände prüfen: 12× „Ewigkeit“, 3 Pakete à 6 CDs, 2×2 Konzert-Gutscheine</t>
  </si>
  <si>
    <t xml:space="preserve">Lager</t>
  </si>
  <si>
    <t xml:space="preserve">Dreh-Block E: Musikvideos (Realdreh-Teil)</t>
  </si>
  <si>
    <t xml:space="preserve">Storyboards</t>
  </si>
  <si>
    <t xml:space="preserve">Rückerstattung: Zugang sperren, Käufer-Bonus entfernen (Ablauf festlegen)</t>
  </si>
  <si>
    <t xml:space="preserve">Behind-the-Scenes-Clips von den Dreh-Blöcken posten</t>
  </si>
  <si>
    <t xml:space="preserve">Steuerberater: Gewinne, Umsatzsteuer (digitale Produkte weltweit), Werbekosten</t>
  </si>
  <si>
    <t xml:space="preserve">Lokale Presse / Pressemitteilung (z. B. Oberberg) und Panflöten-Community anschreiben</t>
  </si>
  <si>
    <t xml:space="preserve">niedrig</t>
  </si>
  <si>
    <t xml:space="preserve">Ob das passt ❓ entscheiden.</t>
  </si>
  <si>
    <t xml:space="preserve">Schnitt Lied-Videos (7 offen + 3 gedrehte)</t>
  </si>
  <si>
    <t xml:space="preserve">Rohmaterial</t>
  </si>
  <si>
    <t xml:space="preserve">Wer schneidet? ❓</t>
  </si>
  <si>
    <t xml:space="preserve">Kalenderseite bauen (Prototyp → echte Version, 24 Türchen, Datum-Freischaltung)</t>
  </si>
  <si>
    <t xml:space="preserve">Claude + Umsetzer</t>
  </si>
  <si>
    <t xml:space="preserve">Hoster, Zugangssystem</t>
  </si>
  <si>
    <t xml:space="preserve">Auswertung Kampagnen (Klicks, Kosten pro Kauf) und Anpassung</t>
  </si>
  <si>
    <t xml:space="preserve">Daten</t>
  </si>
  <si>
    <t xml:space="preserve">Live-Plattform (YouTube/TikTok) und Uhrzeit (12 oder 14 Uhr DE) festlegen</t>
  </si>
  <si>
    <t xml:space="preserve">YouTube, 14 Uhr deutsche Zeit (10 Uhr Paraguay, 22 Uhr Korea).</t>
  </si>
  <si>
    <t xml:space="preserve">Pilot: 1 Video mit koreanischem Voice-Over als Test</t>
  </si>
  <si>
    <t xml:space="preserve">Übersetzerin + Jannik</t>
  </si>
  <si>
    <t xml:space="preserve">Higgsfield-Clips für die 4 Musikvideos erzeugen</t>
  </si>
  <si>
    <t xml:space="preserve">Testabo, Storyboards</t>
  </si>
  <si>
    <t xml:space="preserve">Kanäle für Korea und USA festlegen (KakaoTalk, YouTube, Facebook-Gruppen ❓)</t>
  </si>
  <si>
    <t xml:space="preserve">Mama + Jannik</t>
  </si>
  <si>
    <t xml:space="preserve">Mr. Lee</t>
  </si>
  <si>
    <t xml:space="preserve">Zugriffsprüfung auf dem Server (Token), Videos geschützt einbetten</t>
  </si>
  <si>
    <t xml:space="preserve">Umsetzer</t>
  </si>
  <si>
    <t xml:space="preserve">Kalenderseite</t>
  </si>
  <si>
    <t xml:space="preserve">Prototyp prüft nur im Browser, nicht sicher.</t>
  </si>
  <si>
    <t xml:space="preserve">Koreanische Landingpage und Mails (Entwurf Claude, Übersetzerin prüft)</t>
  </si>
  <si>
    <t xml:space="preserve">Claude + Übersetzerin</t>
  </si>
  <si>
    <t xml:space="preserve">Erinnerungs-Mail „Noch 4 Tage Early Bird“ planen und senden</t>
  </si>
  <si>
    <t xml:space="preserve">Schnitt Geschichten-Videos (10)</t>
  </si>
  <si>
    <t xml:space="preserve">Dreh C/D</t>
  </si>
  <si>
    <t xml:space="preserve">GEMA/Label zweites Nachfassen; bei Ablehnung Ersatztitel wählen</t>
  </si>
  <si>
    <t xml:space="preserve">Antworten</t>
  </si>
  <si>
    <t xml:space="preserve">Konzert-Gutschein erstellen (Code, 1 Jahr, einmal einlösbar, Einlass-Regel)</t>
  </si>
  <si>
    <t xml:space="preserve">Weiteres Format ausarbeiten (Ideen sammeln, z. B. Kommentar-Antwort-Sessions)</t>
  </si>
  <si>
    <t xml:space="preserve">Schnitt Musikvideos (4)</t>
  </si>
  <si>
    <t xml:space="preserve">Dreh E, Higgsfield</t>
  </si>
  <si>
    <t xml:space="preserve">Thumbnails/Titelbilder für alle 24 Türchen</t>
  </si>
  <si>
    <t xml:space="preserve">ALLE 24 Videos gedreht und geschnitten</t>
  </si>
  <si>
    <t xml:space="preserve">Alle Blöcke</t>
  </si>
  <si>
    <t xml:space="preserve">Harte Frist (Early-Bird-Ende, Material bis 2. Novemberwoche).</t>
  </si>
  <si>
    <t xml:space="preserve">Mail „Letzter Tag Early Bird“ senden</t>
  </si>
  <si>
    <t xml:space="preserve">Countdown-Posts Early Bird: noch 7 Tage, 3 Tage, letzter Tag</t>
  </si>
  <si>
    <t xml:space="preserve">Kampagne 1: Early Bird (Instagram/Facebook, Warme Zielgruppe: Follower, Besucher)</t>
  </si>
  <si>
    <t xml:space="preserve">Budget, Landingpage live</t>
  </si>
  <si>
    <t xml:space="preserve">Zielgruppe und Tagesbudget ❓</t>
  </si>
  <si>
    <t xml:space="preserve">Antwort der Kanzlei einarbeiten</t>
  </si>
  <si>
    <t xml:space="preserve">Kanzlei-Antwort</t>
  </si>
  <si>
    <t xml:space="preserve">Puffer: Nachdrehs und Korrekturen</t>
  </si>
  <si>
    <t xml:space="preserve">Social Proof sammeln (Reaktionen, Kommentare, erste Käufer) und teilen</t>
  </si>
  <si>
    <t xml:space="preserve">Kampagne 2: YouTube-Videoanzeige an Zuschauer ähnlicher Musikkanäle ❓</t>
  </si>
  <si>
    <t xml:space="preserve">Versand organisieren: Porto, Zoll weltweit (Korea, USA), Verpackung</t>
  </si>
  <si>
    <t xml:space="preserve">Mail „Ab heute 29,99 €“ an die Warteliste (Nachlaunch)</t>
  </si>
  <si>
    <t xml:space="preserve">Auswertung Kampagnen Ende Early Bird</t>
  </si>
  <si>
    <t xml:space="preserve">Auswertung Early Bird (Verkäufe, Warteliste, Werbe-Ergebnis)</t>
  </si>
  <si>
    <t xml:space="preserve">Zahlen aus Shop und Brevo</t>
  </si>
  <si>
    <t xml:space="preserve">Teilnahmeformular mit Bestätigungslink bauen; Teilnahmebedingungen online</t>
  </si>
  <si>
    <t xml:space="preserve">Bedingungen final</t>
  </si>
  <si>
    <t xml:space="preserve">Videos auf den Videohoster hochladen und benennen</t>
  </si>
  <si>
    <t xml:space="preserve">Hoster gewählt</t>
  </si>
  <si>
    <t xml:space="preserve">Voice-Overs Deutsch aufnehmen</t>
  </si>
  <si>
    <t xml:space="preserve">Videos geschnitten</t>
  </si>
  <si>
    <t xml:space="preserve">Voice-Overs Koreanisch aufnehmen</t>
  </si>
  <si>
    <t xml:space="preserve">Übersetzerin</t>
  </si>
  <si>
    <t xml:space="preserve">Skripte übersetzt</t>
  </si>
  <si>
    <t xml:space="preserve">Nur Geschichten-Videos (nicht Musik).</t>
  </si>
  <si>
    <t xml:space="preserve">Englische Fassung (Voice-Over oder Untertitel) fertigstellen</t>
  </si>
  <si>
    <t xml:space="preserve">Entscheidung Fassung</t>
  </si>
  <si>
    <t xml:space="preserve">Käufer-Export für die Ziehungen (Skript) vorbereiten und testen</t>
  </si>
  <si>
    <t xml:space="preserve">Shop-Export</t>
  </si>
  <si>
    <t xml:space="preserve">Qualitätscheck aller Videos (Ton, Bild, Länge ca. 3 Min.)</t>
  </si>
  <si>
    <t xml:space="preserve">Kalenderseite komplett testen (Handy, Desktop, Datum-Test, alle Sprachen)</t>
  </si>
  <si>
    <t xml:space="preserve">Videos hochgeladen</t>
  </si>
  <si>
    <t xml:space="preserve">YouTube-Premiere/Musikvideo 1 am 1. Advent vorbereiten (Titel, Thumbnail, Ankündigung)</t>
  </si>
  <si>
    <t xml:space="preserve">Musikvideo 1</t>
  </si>
  <si>
    <t xml:space="preserve">YouTube-Video mit Gewinnspiel-Aufruf (Kommentar) für 1. Advent vorbereiten</t>
  </si>
  <si>
    <t xml:space="preserve">Bedingungen</t>
  </si>
  <si>
    <t xml:space="preserve">Live-Stream und Kommentar-Tool testen (Probelauf), Ziehungsprotokoll-Vorlage</t>
  </si>
  <si>
    <t xml:space="preserve">Testkauf am 1.12.-Szenario: Käufer sieht Türchen 1 ab Datum, Spätkäufer alles</t>
  </si>
  <si>
    <t xml:space="preserve">Dezember-Content-Kalender: tägliche Posts pro Türchen vorbereiten (Teaser, Text, Bild)</t>
  </si>
  <si>
    <t xml:space="preserve">Videos fertig</t>
  </si>
  <si>
    <t xml:space="preserve">Mails ab Start: Türchen-Hinweise (z. B. wöchentlich) und Gewinnspiel-Erinnerung planen</t>
  </si>
  <si>
    <t xml:space="preserve">Mail an Nicht-Käufer „Der Kalender startet übermorgen“</t>
  </si>
  <si>
    <t xml:space="preserve">1. Advent: Musikvideo 1 auf YouTube veröffentlichen, Gewinnspiel-Aufruf</t>
  </si>
  <si>
    <t xml:space="preserve">ZIEHUNG 1. Advent (CD „Ewigkeit“ ×3), Gewinner benachrichtigen</t>
  </si>
  <si>
    <t xml:space="preserve">Jede Ziehung: Protokoll speichern, Gewinner innerhalb 24 Std. anschreiben.</t>
  </si>
  <si>
    <t xml:space="preserve">1. Advent (29.11.): Live und erste Verlosung, YouTube-Musikvideo</t>
  </si>
  <si>
    <t xml:space="preserve">Backup von Website und Shop vor dem Start</t>
  </si>
  <si>
    <t xml:space="preserve">Mail „Morgen öffnet sich Türchen 1“ an alle Käufer</t>
  </si>
  <si>
    <t xml:space="preserve">Tägliche Kurzvideos bis 30.11. (1 Clip/Tag aus Konzert, Dreh, Geschichten) planen und posten</t>
  </si>
  <si>
    <t xml:space="preserve">Jannik/Videoagent ❓</t>
  </si>
  <si>
    <t xml:space="preserve">Clips</t>
  </si>
  <si>
    <t xml:space="preserve">Eine Aufgabe, täglich erledigen.</t>
  </si>
  <si>
    <t xml:space="preserve">Countdown-Stories 25.–30.11. („noch X Tage bis Türchen 1“)</t>
  </si>
  <si>
    <t xml:space="preserve">Kampagne 3: Nachlaunch „29,99 €, Start am 1.12.“ (Deutschland)</t>
  </si>
  <si>
    <t xml:space="preserve">Kampagne Korea: koreanische Anzeigen und Landingpage (nach Übersetzung)</t>
  </si>
  <si>
    <t xml:space="preserve">Jannik + Übersetzerin</t>
  </si>
  <si>
    <t xml:space="preserve">Koreanische Texte</t>
  </si>
  <si>
    <t xml:space="preserve">Länderliste enthält Südkorea.</t>
  </si>
  <si>
    <t xml:space="preserve">Kampagne USA: englische Anzeigen und Landingpage</t>
  </si>
  <si>
    <t xml:space="preserve">Englische Texte</t>
  </si>
  <si>
    <t xml:space="preserve">Korea: Community-Posts und Weitergabe über Mr. Lee starten</t>
  </si>
  <si>
    <t xml:space="preserve">Mama</t>
  </si>
  <si>
    <t xml:space="preserve">Koreanische Landingpage</t>
  </si>
  <si>
    <t xml:space="preserve">Türchen 1 öffnet sich: Start des Kalenders</t>
  </si>
  <si>
    <t xml:space="preserve">ZIEHUNG 2. Advent (live)</t>
  </si>
  <si>
    <t xml:space="preserve">Käuferliste</t>
  </si>
  <si>
    <t xml:space="preserve">ZIEHUNG 3. Advent (live)</t>
  </si>
  <si>
    <t xml:space="preserve">40-%-CD-Rabatt im Shop vorbereiten (Code, nur 20.12., nur benannte CDs)</t>
  </si>
  <si>
    <t xml:space="preserve">20.12.: Post und Mail zum 40-%-CD-Rabatt (nur dieser Tag)</t>
  </si>
  <si>
    <t xml:space="preserve">Rabattcode</t>
  </si>
  <si>
    <t xml:space="preserve">ZIEHUNG 4. Advent (live) + 40-%-CD-Rabatt</t>
  </si>
  <si>
    <t xml:space="preserve">Käuferliste, Rabattcode</t>
  </si>
  <si>
    <t xml:space="preserve">Sonntags-Lives (6., 13., 20.12.) und Musikvideo-Türchen 6, 13, 20</t>
  </si>
  <si>
    <t xml:space="preserve">Nachkauf-Push jeden Sonntag: „Noch einsteigen, alle Türchen offen“</t>
  </si>
  <si>
    <t xml:space="preserve">Dezember: Retargeting (Besucher, die nicht gekauft haben) bis 20.12.</t>
  </si>
  <si>
    <t xml:space="preserve">Pixel, Einwilligung</t>
  </si>
  <si>
    <t xml:space="preserve">Täglicher Post pro Türchen (1.–24.12.), mit Link zum Kalender</t>
  </si>
  <si>
    <t xml:space="preserve">Content-Kalender</t>
  </si>
  <si>
    <t xml:space="preserve">Eine Aufgabe, täglich.</t>
  </si>
  <si>
    <t xml:space="preserve">ZIEHUNG 24.12.: 3 CD-Pakete, 2×2 Konzert-Gutscheine</t>
  </si>
  <si>
    <t xml:space="preserve">Täglich: Türchen prüfen, Postfach beantworten, Support, Post veröffentlichen</t>
  </si>
  <si>
    <t xml:space="preserve">24.12.: Finale Türchen 24, Ziehung, Weihnachtsgruß</t>
  </si>
  <si>
    <t xml:space="preserve">24.12.: Weihnachtsgruß und Ziehung bewerben</t>
  </si>
  <si>
    <t xml:space="preserve">Live-Replay für Korea bereitstellen (Ziehung 12 Uhr DE = 20 Uhr Korea)</t>
  </si>
  <si>
    <t xml:space="preserve">Dankesmail nach 24.12. mit Gewinnern, Konzerten 2027, Shop-Hinweis</t>
  </si>
  <si>
    <t xml:space="preserve">Anzeigen stoppen, Abrechnung prüfen, Ergebnis festhalten</t>
  </si>
  <si>
    <t xml:space="preserve">Gewinne versenden (innerhalb von 7 Tagen nach Meldung)</t>
  </si>
  <si>
    <t xml:space="preserve">Adressen der Gewinner</t>
  </si>
  <si>
    <t xml:space="preserve">25.–31.12.: Gewinne versenden, Dank, Auswertung</t>
  </si>
  <si>
    <t xml:space="preserve">Abschluss-Auswertung Kalender 2026 und Ideen für 2027</t>
  </si>
  <si>
    <t xml:space="preserve">Datum</t>
  </si>
  <si>
    <t xml:space="preserve">Termin</t>
  </si>
  <si>
    <t xml:space="preserve">Art</t>
  </si>
  <si>
    <t xml:space="preserve">Tage bis dahin</t>
  </si>
  <si>
    <t xml:space="preserve">Mama erinnern (Mr. Lee), GEMA-Anfrage, Team und Budget festlegen</t>
  </si>
  <si>
    <t xml:space="preserve">KAUFEN-BUTTON LIVE (spätester Termin), Testkauf</t>
  </si>
  <si>
    <t xml:space="preserve">Harte Frist</t>
  </si>
  <si>
    <t xml:space="preserve">Newsletter an die Altliste</t>
  </si>
  <si>
    <t xml:space="preserve">Alle 24 Videos fertig, letzter Tag Early Bird (25 €)</t>
  </si>
  <si>
    <t xml:space="preserve">Preis ab heute 29,99 €</t>
  </si>
  <si>
    <t xml:space="preserve">Preisänderung</t>
  </si>
  <si>
    <t xml:space="preserve">1. Advent: YouTube-Musikvideo 1, Gewinnspiel 1 (12 oder 14 Uhr DE)</t>
  </si>
  <si>
    <t xml:space="preserve">Mail „Morgen Türchen 1“</t>
  </si>
  <si>
    <t xml:space="preserve">KALENDER STARTET: Türchen 1</t>
  </si>
  <si>
    <t xml:space="preserve">2. Advent: Live, Ziehung, Musikvideo-Türchen 6</t>
  </si>
  <si>
    <t xml:space="preserve">3. Advent: Live, Ziehung, Musikvideo-Türchen 13</t>
  </si>
  <si>
    <t xml:space="preserve">4. Advent: Live, Ziehung, 40 % CD-Rabatt, Musikvideo-Türchen 20</t>
  </si>
  <si>
    <t xml:space="preserve">Finale: Türchen 24, große Ziehung</t>
  </si>
  <si>
    <t xml:space="preserve">Phase</t>
  </si>
  <si>
    <t xml:space="preserve">Zeitraum</t>
  </si>
  <si>
    <t xml:space="preserve">Ziel</t>
  </si>
  <si>
    <t xml:space="preserve">Kanäle</t>
  </si>
  <si>
    <t xml:space="preserve">Inhalte / Ideen</t>
  </si>
  <si>
    <t xml:space="preserve">Messgröße (Beispiel ❓)</t>
  </si>
  <si>
    <t xml:space="preserve">Budget ❓</t>
  </si>
  <si>
    <t xml:space="preserve">1 Teaser und Warteliste</t>
  </si>
  <si>
    <t xml:space="preserve">24.10.–28.10.</t>
  </si>
  <si>
    <t xml:space="preserve">Warteliste füllen, Aufmerksamkeit</t>
  </si>
  <si>
    <t xml:space="preserve">Instagram, TikTok, Facebook, YouTube Community, Altliste, WhatsApp</t>
  </si>
  <si>
    <t xml:space="preserve">Teaser-Clips (30–45 Sek.), Behind the Scenes vom Dreh, „Trag dich ein“-Post, Bio-Links auf Landingpage</t>
  </si>
  <si>
    <t xml:space="preserve">Neue Wartelisten-Einträge</t>
  </si>
  <si>
    <t xml:space="preserve">0 € (organisch)</t>
  </si>
  <si>
    <t xml:space="preserve">2 Launch</t>
  </si>
  <si>
    <t xml:space="preserve">29.10.–1.11.</t>
  </si>
  <si>
    <t xml:space="preserve">Erste Käufer, Early Bird</t>
  </si>
  <si>
    <t xml:space="preserve">Alle Kanäle, YouTube-Beschreibung und angepinnter Kommentar, Newsletter Altliste 30.10., Verkaufsstart-Mail</t>
  </si>
  <si>
    <t xml:space="preserve">Launch-Reel, Story mit Link, YouTube Community-Post, Erklärvideo „So funktioniert der Kalender“</t>
  </si>
  <si>
    <t xml:space="preserve">Käufe, Klicks auf Landingpage</t>
  </si>
  <si>
    <t xml:space="preserve">Start Anzeigen ❓</t>
  </si>
  <si>
    <t xml:space="preserve">3 Early-Bird-Druck</t>
  </si>
  <si>
    <t xml:space="preserve">2.11.–15.11.</t>
  </si>
  <si>
    <t xml:space="preserve">Käufe vor dem 15.11.</t>
  </si>
  <si>
    <t xml:space="preserve">Meta-Anzeigen (Instagram/Facebook), YouTube-Anzeige ❓, organische Posts, Mails 11.11. und 15.11.</t>
  </si>
  <si>
    <t xml:space="preserve">Countdown (7 Tage, 3 Tage, letzter Tag), Social Proof (erste Reaktionen), Vorschau auf Türchen, Rabatt-Hinweis 25 € statt 29,99 €</t>
  </si>
  <si>
    <t xml:space="preserve">Käufe pro Tag, Kosten pro Kauf</t>
  </si>
  <si>
    <t xml:space="preserve">z. B. 150–300 € ❓</t>
  </si>
  <si>
    <t xml:space="preserve">4 Nachlaunch + Korea/USA</t>
  </si>
  <si>
    <t xml:space="preserve">16.11.–28.11.</t>
  </si>
  <si>
    <t xml:space="preserve">Weiter verkaufen, Korea und USA öffnen</t>
  </si>
  <si>
    <t xml:space="preserve">Meta-Anzeigen DE/KR/US ❓, Korea-Community über Mr. Lee, organische Posts</t>
  </si>
  <si>
    <t xml:space="preserve">„Noch 29,99 €, Start am 1.12.“, koreanische und englische Landingpage, Gewinnspiel-Vorschau, Behind the Scenes</t>
  </si>
  <si>
    <t xml:space="preserve">Käufe nach Land</t>
  </si>
  <si>
    <t xml:space="preserve">5 Countdown</t>
  </si>
  <si>
    <t xml:space="preserve">25.11.–30.11.</t>
  </si>
  <si>
    <t xml:space="preserve">Spannung vor dem Start</t>
  </si>
  <si>
    <t xml:space="preserve">Stories, Reels, Mails, Premiere-Ankündigung 1. Advent</t>
  </si>
  <si>
    <t xml:space="preserve">„Noch X Tage“, Blick hinter Türchen 1, Gewinnspiel-Aufruf zum 1. Advent</t>
  </si>
  <si>
    <t xml:space="preserve">Aufrufe, Anmeldungen</t>
  </si>
  <si>
    <t xml:space="preserve">6 Kalenderphase</t>
  </si>
  <si>
    <t xml:space="preserve">1.12.–24.12.</t>
  </si>
  <si>
    <t xml:space="preserve">Käufer halten, Nachkäufer gewinnen</t>
  </si>
  <si>
    <t xml:space="preserve">Tägliche Posts, Sonntags-Lives, Mails, Retargeting ❓</t>
  </si>
  <si>
    <t xml:space="preserve">Täglicher Türchen-Teaser (ohne alles zu verraten), Wochen-Gewinnspiele, 20.12. CD-Rabatt, 24.12. Finale</t>
  </si>
  <si>
    <t xml:space="preserve">Käufe pro Woche, Teilnehmer an Gewinnspielen</t>
  </si>
  <si>
    <t xml:space="preserve">z. B. 100–200 € ❓</t>
  </si>
  <si>
    <t xml:space="preserve">7 Nachbereitung</t>
  </si>
  <si>
    <t xml:space="preserve">25.12.–31.12.</t>
  </si>
  <si>
    <t xml:space="preserve">Dank, Kunden binden, 2027 vorbereiten</t>
  </si>
  <si>
    <t xml:space="preserve">Mail, Instagram, YouTube</t>
  </si>
  <si>
    <t xml:space="preserve">Dank, Gewinner zeigen, Konzerte 2027</t>
  </si>
  <si>
    <t xml:space="preserve">Neue Abonnenten, Newsletter-Öffnungen</t>
  </si>
  <si>
    <t xml:space="preserve">0 €</t>
  </si>
  <si>
    <t xml:space="preserve">Hinweis: Alle Budgets, Messgrößen und bezahlten Kanäle sind Vorschläge von Claude (❓) und wurden von Jannik noch nicht entschieden. Quelle der organischen Idee „tägliche Clips“: Notion-Plan vom 6.10.2026.</t>
  </si>
  <si>
    <t xml:space="preserve">Frage</t>
  </si>
  <si>
    <t xml:space="preserve">Wer antwortet</t>
  </si>
  <si>
    <t xml:space="preserve">Wird gebraucht bis</t>
  </si>
  <si>
    <t xml:space="preserve">Antwort (Jannik, 24.10.)</t>
  </si>
  <si>
    <t xml:space="preserve">Wer macht was im Team, wie viele Stunden pro Woche?</t>
  </si>
  <si>
    <t xml:space="preserve">beantwortet</t>
  </si>
  <si>
    <t xml:space="preserve">Jannik 20 Std./Woche: Social Media, Warteliste, Website/Shop, Konzerte, Videoschnitt. Mutter: Videodreh. Vater: vor der Kamera. Eltern zusammen ca. 10 Std./Woche.</t>
  </si>
  <si>
    <t xml:space="preserve">Gesamtbudget und Werbebudget?</t>
  </si>
  <si>
    <t xml:space="preserve">Jannik fragt nach.</t>
  </si>
  <si>
    <t xml:space="preserve">Welche Lieder (alle) sind im Kalender, welches Playback ist eigen oder fremd?</t>
  </si>
  <si>
    <t xml:space="preserve">Jannik fragt nach (Playback eigen oder fremd).</t>
  </si>
  <si>
    <t xml:space="preserve">Dreh-Termine von David (Blöcke A–E)?</t>
  </si>
  <si>
    <t xml:space="preserve">Noch keine Termine.</t>
  </si>
  <si>
    <t xml:space="preserve">Zugang: Plugin oder eigener Server, wer baut es, Admin-Zugang?</t>
  </si>
  <si>
    <t xml:space="preserve">Zahlarten außer PayPal, Verkauf weltweit?</t>
  </si>
  <si>
    <t xml:space="preserve">PayPal und alles, was der Shop liefert.</t>
  </si>
  <si>
    <t xml:space="preserve">Link oder Text der aktuellen Warteliste-Seite?</t>
  </si>
  <si>
    <t xml:space="preserve">Jannik fragt an und schickt es.</t>
  </si>
  <si>
    <t xml:space="preserve">Text der Konzertseite 2027 (Homepage)?</t>
  </si>
  <si>
    <t xml:space="preserve">Auf der Homepage. Claude hat in dieser Sitzung keinen Browser, Jannik kopiert den Text.</t>
  </si>
  <si>
    <t xml:space="preserve">Absender-Name und -Adresse in Brevo?</t>
  </si>
  <si>
    <t xml:space="preserve">Welche Teaser-Ausschnitte dürfen öffentlich werden?</t>
  </si>
  <si>
    <t xml:space="preserve">Jannik sagt später, welche.</t>
  </si>
  <si>
    <t xml:space="preserve">Welche Videos bekommen eine englische und koreanische Fassung?</t>
  </si>
  <si>
    <t xml:space="preserve">Alle, die keine Musik sind (Geschichten u. ä.).</t>
  </si>
  <si>
    <t xml:space="preserve">Wann bis wann zählt ein Kauf für die jeweilige Ziehung (z. B. bis Ziehungstag 12 Uhr)?</t>
  </si>
  <si>
    <t xml:space="preserve">Kauf zählt ab Verkaufsstart bis zum Beginn der jeweiligen Ziehung (Claude-Auslegung, bitte bestätigen).</t>
  </si>
  <si>
    <t xml:space="preserve">Live-Plattform (YouTube/TikTok) und Uhrzeit (12 oder 14 Uhr DE)?</t>
  </si>
  <si>
    <t xml:space="preserve">YouTube, 14 Uhr deutsche Zeit.</t>
  </si>
  <si>
    <t xml:space="preserve">Mindestalter und Länderliste für das Gewinnspiel?</t>
  </si>
  <si>
    <t xml:space="preserve">Jannik + Kanzlei</t>
  </si>
  <si>
    <t xml:space="preserve">18. Länder: Deutschland, Niederlande, Tschechien, Frankreich, Schweiz, Österreich, Luxemburg, Belgien, Südkorea, USA, Paraguay.</t>
  </si>
  <si>
    <t xml:space="preserve">Türchen 24: Breite und Höhe dreifach oder Fläche dreifach?</t>
  </si>
  <si>
    <t xml:space="preserve">Breite dreifach, Höhe gleich wie die anderen Türchen (Jannik, 24.10.).</t>
  </si>
  <si>
    <t xml:space="preserve">Videoformat des Kalenders: 16:9?</t>
  </si>
  <si>
    <t xml:space="preserve">16:9.</t>
  </si>
  <si>
    <t xml:space="preserve">Welche Werbekanäle bezahlt (Meta, YouTube) und welches Budget?</t>
  </si>
  <si>
    <t xml:space="preserve">Kanäle und Budget müssen noch festgelegt werden.</t>
  </si>
  <si>
    <t xml:space="preserve">Wer schneidet die Videos (Jannik, Videoagent, extern)?</t>
  </si>
  <si>
    <t xml:space="preserve">Jannik und Videoagent.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</si>
</sst>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442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6B442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strike val="1"/>
        <color rgb="FF80808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6B442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</v>
      </c>
      <c r="B2" s="3" t="n">
        <f aca="true">TODAY()</f>
        <v>46319</v>
      </c>
      <c r="C2" s="2"/>
      <c r="D2" s="2"/>
      <c r="E2" s="2"/>
    </row>
    <row r="3" customFormat="false" ht="15" hidden="false" customHeight="false" outlineLevel="0" collapsed="false">
      <c r="A3" s="2" t="s">
        <v>2</v>
      </c>
      <c r="B3" s="2" t="n">
        <f aca="true">DATE(2026,10,29)-TODAY()</f>
        <v>5</v>
      </c>
      <c r="C3" s="2"/>
      <c r="D3" s="2"/>
      <c r="E3" s="2"/>
    </row>
    <row r="4" customFormat="false" ht="15" hidden="false" customHeight="false" outlineLevel="0" collapsed="false">
      <c r="A4" s="2" t="s">
        <v>3</v>
      </c>
      <c r="B4" s="2" t="n">
        <f aca="true">DATE(2026,11,15)-TODAY()</f>
        <v>22</v>
      </c>
      <c r="C4" s="2"/>
      <c r="D4" s="2"/>
      <c r="E4" s="2"/>
    </row>
    <row r="5" customFormat="false" ht="15" hidden="false" customHeight="false" outlineLevel="0" collapsed="false">
      <c r="A5" s="2" t="s">
        <v>4</v>
      </c>
      <c r="B5" s="2" t="n">
        <f aca="true">DATE(2026,12,1)-TODAY()</f>
        <v>38</v>
      </c>
      <c r="C5" s="2"/>
      <c r="D5" s="2"/>
      <c r="E5" s="2"/>
    </row>
    <row r="6" customFormat="false" ht="15" hidden="false" customHeight="false" outlineLevel="0" collapsed="false">
      <c r="A6" s="2" t="s">
        <v>5</v>
      </c>
      <c r="B6" s="2" t="n">
        <f aca="false">COUNTA(Gesamtplan!C2:C157)</f>
        <v>156</v>
      </c>
      <c r="C6" s="2" t="n">
        <f aca="false">COUNTIF(Gesamtplan!H2:H157,"erledigt")</f>
        <v>14</v>
      </c>
      <c r="D6" s="2" t="n">
        <f aca="false">B6-C6</f>
        <v>142</v>
      </c>
      <c r="E6" s="2"/>
    </row>
    <row r="7" customFormat="false" ht="15" hidden="false" customHeight="false" outlineLevel="0" collapsed="false">
      <c r="A7" s="2" t="s">
        <v>6</v>
      </c>
      <c r="B7" s="2" t="n">
        <f aca="false">COUNTIF(Gesamtplan!M2:M157,"ÜBERFÄLLIG")</f>
        <v>0</v>
      </c>
      <c r="C7" s="2"/>
      <c r="D7" s="2"/>
      <c r="E7" s="2"/>
    </row>
    <row r="8" customFormat="false" ht="15" hidden="false" customHeight="false" outlineLevel="0" collapsed="false">
      <c r="A8" s="2" t="s">
        <v>7</v>
      </c>
      <c r="B8" s="2" t="n">
        <f aca="false">COUNTIF(Gesamtplan!M2:M157,"bald fällig")</f>
        <v>11</v>
      </c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</row>
    <row r="11" customFormat="false" ht="15" hidden="false" customHeight="false" outlineLevel="0" collapsed="false">
      <c r="A11" s="2" t="s">
        <v>13</v>
      </c>
      <c r="B11" s="2" t="n">
        <f aca="false">COUNTIF(Gesamtplan!$B$2:$B$157,A11)</f>
        <v>11</v>
      </c>
      <c r="C11" s="2" t="n">
        <f aca="false">COUNTIFS(Gesamtplan!$B$2:$B$157,A11,Gesamtplan!$H$2:$H$157,"erledigt")</f>
        <v>3</v>
      </c>
      <c r="D11" s="2" t="n">
        <f aca="false">B11-C11</f>
        <v>8</v>
      </c>
      <c r="E11" s="2" t="n">
        <f aca="false">COUNTIFS(Gesamtplan!$B$2:$B$157,A11,Gesamtplan!$M$2:$M$157,"ÜBERFÄLLIG")</f>
        <v>0</v>
      </c>
    </row>
    <row r="12" customFormat="false" ht="15" hidden="false" customHeight="false" outlineLevel="0" collapsed="false">
      <c r="A12" s="2" t="s">
        <v>14</v>
      </c>
      <c r="B12" s="2" t="n">
        <f aca="false">COUNTIF(Gesamtplan!$B$2:$B$157,A12)</f>
        <v>25</v>
      </c>
      <c r="C12" s="2" t="n">
        <f aca="false">COUNTIFS(Gesamtplan!$B$2:$B$157,A12,Gesamtplan!$H$2:$H$157,"erledigt")</f>
        <v>2</v>
      </c>
      <c r="D12" s="2" t="n">
        <f aca="false">B12-C12</f>
        <v>23</v>
      </c>
      <c r="E12" s="2" t="n">
        <f aca="false">COUNTIFS(Gesamtplan!$B$2:$B$157,A12,Gesamtplan!$M$2:$M$157,"ÜBERFÄLLIG")</f>
        <v>0</v>
      </c>
    </row>
    <row r="13" customFormat="false" ht="15" hidden="false" customHeight="false" outlineLevel="0" collapsed="false">
      <c r="A13" s="2" t="s">
        <v>15</v>
      </c>
      <c r="B13" s="2" t="n">
        <f aca="false">COUNTIF(Gesamtplan!$B$2:$B$157,A13)</f>
        <v>18</v>
      </c>
      <c r="C13" s="2" t="n">
        <f aca="false">COUNTIFS(Gesamtplan!$B$2:$B$157,A13,Gesamtplan!$H$2:$H$157,"erledigt")</f>
        <v>0</v>
      </c>
      <c r="D13" s="2" t="n">
        <f aca="false">B13-C13</f>
        <v>18</v>
      </c>
      <c r="E13" s="2" t="n">
        <f aca="false">COUNTIFS(Gesamtplan!$B$2:$B$157,A13,Gesamtplan!$M$2:$M$157,"ÜBERFÄLLIG")</f>
        <v>0</v>
      </c>
    </row>
    <row r="14" customFormat="false" ht="15" hidden="false" customHeight="false" outlineLevel="0" collapsed="false">
      <c r="A14" s="2" t="s">
        <v>16</v>
      </c>
      <c r="B14" s="2" t="n">
        <f aca="false">COUNTIF(Gesamtplan!$B$2:$B$157,A14)</f>
        <v>20</v>
      </c>
      <c r="C14" s="2" t="n">
        <f aca="false">COUNTIFS(Gesamtplan!$B$2:$B$157,A14,Gesamtplan!$H$2:$H$157,"erledigt")</f>
        <v>4</v>
      </c>
      <c r="D14" s="2" t="n">
        <f aca="false">B14-C14</f>
        <v>16</v>
      </c>
      <c r="E14" s="2" t="n">
        <f aca="false">COUNTIFS(Gesamtplan!$B$2:$B$157,A14,Gesamtplan!$M$2:$M$157,"ÜBERFÄLLIG")</f>
        <v>0</v>
      </c>
    </row>
    <row r="15" customFormat="false" ht="15" hidden="false" customHeight="false" outlineLevel="0" collapsed="false">
      <c r="A15" s="2" t="s">
        <v>17</v>
      </c>
      <c r="B15" s="2" t="n">
        <f aca="false">COUNTIF(Gesamtplan!$B$2:$B$157,A15)</f>
        <v>22</v>
      </c>
      <c r="C15" s="2" t="n">
        <f aca="false">COUNTIFS(Gesamtplan!$B$2:$B$157,A15,Gesamtplan!$H$2:$H$157,"erledigt")</f>
        <v>0</v>
      </c>
      <c r="D15" s="2" t="n">
        <f aca="false">B15-C15</f>
        <v>22</v>
      </c>
      <c r="E15" s="2" t="n">
        <f aca="false">COUNTIFS(Gesamtplan!$B$2:$B$157,A15,Gesamtplan!$M$2:$M$157,"ÜBERFÄLLIG")</f>
        <v>0</v>
      </c>
    </row>
    <row r="16" customFormat="false" ht="15" hidden="false" customHeight="false" outlineLevel="0" collapsed="false">
      <c r="A16" s="2" t="s">
        <v>18</v>
      </c>
      <c r="B16" s="2" t="n">
        <f aca="false">COUNTIF(Gesamtplan!$B$2:$B$157,A16)</f>
        <v>13</v>
      </c>
      <c r="C16" s="2" t="n">
        <f aca="false">COUNTIFS(Gesamtplan!$B$2:$B$157,A16,Gesamtplan!$H$2:$H$157,"erledigt")</f>
        <v>0</v>
      </c>
      <c r="D16" s="2" t="n">
        <f aca="false">B16-C16</f>
        <v>13</v>
      </c>
      <c r="E16" s="2" t="n">
        <f aca="false">COUNTIFS(Gesamtplan!$B$2:$B$157,A16,Gesamtplan!$M$2:$M$157,"ÜBERFÄLLIG")</f>
        <v>0</v>
      </c>
    </row>
    <row r="17" customFormat="false" ht="15" hidden="false" customHeight="false" outlineLevel="0" collapsed="false">
      <c r="A17" s="2" t="s">
        <v>19</v>
      </c>
      <c r="B17" s="2" t="n">
        <f aca="false">COUNTIF(Gesamtplan!$B$2:$B$157,A17)</f>
        <v>19</v>
      </c>
      <c r="C17" s="2" t="n">
        <f aca="false">COUNTIFS(Gesamtplan!$B$2:$B$157,A17,Gesamtplan!$H$2:$H$157,"erledigt")</f>
        <v>3</v>
      </c>
      <c r="D17" s="2" t="n">
        <f aca="false">B17-C17</f>
        <v>16</v>
      </c>
      <c r="E17" s="2" t="n">
        <f aca="false">COUNTIFS(Gesamtplan!$B$2:$B$157,A17,Gesamtplan!$M$2:$M$157,"ÜBERFÄLLIG")</f>
        <v>0</v>
      </c>
    </row>
    <row r="18" customFormat="false" ht="15" hidden="false" customHeight="false" outlineLevel="0" collapsed="false">
      <c r="A18" s="2" t="s">
        <v>20</v>
      </c>
      <c r="B18" s="2" t="n">
        <f aca="false">COUNTIF(Gesamtplan!$B$2:$B$157,A18)</f>
        <v>9</v>
      </c>
      <c r="C18" s="2" t="n">
        <f aca="false">COUNTIFS(Gesamtplan!$B$2:$B$157,A18,Gesamtplan!$H$2:$H$157,"erledigt")</f>
        <v>1</v>
      </c>
      <c r="D18" s="2" t="n">
        <f aca="false">B18-C18</f>
        <v>8</v>
      </c>
      <c r="E18" s="2" t="n">
        <f aca="false">COUNTIFS(Gesamtplan!$B$2:$B$157,A18,Gesamtplan!$M$2:$M$157,"ÜBERFÄLLIG")</f>
        <v>0</v>
      </c>
    </row>
    <row r="19" customFormat="false" ht="15" hidden="false" customHeight="false" outlineLevel="0" collapsed="false">
      <c r="A19" s="2" t="s">
        <v>21</v>
      </c>
      <c r="B19" s="2" t="n">
        <f aca="false">COUNTIF(Gesamtplan!$B$2:$B$157,A19)</f>
        <v>12</v>
      </c>
      <c r="C19" s="2" t="n">
        <f aca="false">COUNTIFS(Gesamtplan!$B$2:$B$157,A19,Gesamtplan!$H$2:$H$157,"erledigt")</f>
        <v>1</v>
      </c>
      <c r="D19" s="2" t="n">
        <f aca="false">B19-C19</f>
        <v>11</v>
      </c>
      <c r="E19" s="2" t="n">
        <f aca="false">COUNTIFS(Gesamtplan!$B$2:$B$157,A19,Gesamtplan!$M$2:$M$157,"ÜBERFÄLLIG")</f>
        <v>0</v>
      </c>
    </row>
    <row r="20" customFormat="false" ht="15" hidden="false" customHeight="false" outlineLevel="0" collapsed="false">
      <c r="A20" s="2" t="s">
        <v>22</v>
      </c>
      <c r="B20" s="2" t="n">
        <f aca="false">COUNTIF(Gesamtplan!$B$2:$B$157,A20)</f>
        <v>7</v>
      </c>
      <c r="C20" s="2" t="n">
        <f aca="false">COUNTIFS(Gesamtplan!$B$2:$B$157,A20,Gesamtplan!$H$2:$H$157,"erledigt")</f>
        <v>0</v>
      </c>
      <c r="D20" s="2" t="n">
        <f aca="false">B20-C20</f>
        <v>7</v>
      </c>
      <c r="E20" s="2" t="n">
        <f aca="false">COUNTIFS(Gesamtplan!$B$2:$B$157,A20,Gesamtplan!$M$2:$M$157,"ÜBERFÄLLIG")</f>
        <v>0</v>
      </c>
    </row>
    <row r="21" customFormat="false" ht="15" hidden="false" customHeight="false" outlineLevel="0" collapsed="false">
      <c r="A21" s="5" t="s">
        <v>23</v>
      </c>
      <c r="B21" s="5" t="n">
        <f aca="false">SUM(B11:B20)</f>
        <v>156</v>
      </c>
      <c r="C21" s="5" t="n">
        <f aca="false">SUM(C11:C20)</f>
        <v>14</v>
      </c>
      <c r="D21" s="5" t="n">
        <f aca="false">SUM(D11:D20)</f>
        <v>142</v>
      </c>
      <c r="E21" s="5" t="n">
        <f aca="false">SUM(E11:E20)</f>
        <v>0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 t="s">
        <v>24</v>
      </c>
      <c r="B23" s="2"/>
      <c r="C23" s="2"/>
      <c r="D23" s="2"/>
      <c r="E23" s="2"/>
    </row>
    <row r="24" customFormat="false" ht="15" hidden="false" customHeight="false" outlineLevel="0" collapsed="false">
      <c r="A24" s="2" t="s">
        <v>25</v>
      </c>
      <c r="B24" s="2"/>
      <c r="C24" s="2"/>
      <c r="D24" s="2"/>
      <c r="E24" s="2"/>
    </row>
    <row r="25" customFormat="false" ht="15" hidden="false" customHeight="false" outlineLevel="0" collapsed="false">
      <c r="A25" s="2" t="s">
        <v>26</v>
      </c>
      <c r="B25" s="2"/>
      <c r="C25" s="2"/>
      <c r="D25" s="2"/>
      <c r="E25" s="2"/>
    </row>
    <row r="26" customFormat="false" ht="15" hidden="false" customHeight="false" outlineLevel="0" collapsed="false">
      <c r="A26" s="2" t="s">
        <v>27</v>
      </c>
      <c r="B26" s="2"/>
      <c r="C26" s="2"/>
      <c r="D26" s="2"/>
      <c r="E26" s="2"/>
    </row>
    <row r="27" customFormat="false" ht="15" hidden="false" customHeight="false" outlineLevel="0" collapsed="false">
      <c r="A27" s="2" t="s">
        <v>28</v>
      </c>
      <c r="B27" s="2"/>
      <c r="C27" s="2"/>
      <c r="D27" s="2"/>
      <c r="E27" s="2"/>
    </row>
    <row r="28" customFormat="false" ht="15" hidden="false" customHeight="false" outlineLevel="0" collapsed="false">
      <c r="A28" s="2" t="s">
        <v>29</v>
      </c>
      <c r="B28" s="2"/>
      <c r="C28" s="2"/>
      <c r="D28" s="2"/>
      <c r="E28" s="2"/>
    </row>
    <row r="29" customFormat="false" ht="15" hidden="false" customHeight="false" outlineLevel="0" collapsed="false">
      <c r="A29" s="2" t="s">
        <v>30</v>
      </c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62"/>
    <col collapsed="false" customWidth="true" hidden="false" outlineLevel="0" max="5" min="4" style="0" width="11"/>
    <col collapsed="false" customWidth="true" hidden="false" outlineLevel="0" max="6" min="6" style="0" width="5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19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6" t="s">
        <v>31</v>
      </c>
      <c r="B1" s="6" t="s">
        <v>8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</row>
    <row r="2" customFormat="false" ht="15" hidden="false" customHeight="false" outlineLevel="0" collapsed="false">
      <c r="A2" s="7" t="n">
        <v>1</v>
      </c>
      <c r="B2" s="7" t="s">
        <v>16</v>
      </c>
      <c r="C2" s="7" t="s">
        <v>43</v>
      </c>
      <c r="D2" s="8" t="n">
        <v>46319</v>
      </c>
      <c r="E2" s="8" t="n">
        <v>46319</v>
      </c>
      <c r="F2" s="7" t="str">
        <f aca="false">CHOOSE(WEEKDAY(E2,2),"Mo","Di","Mi","Do","Fr","Sa","So")</f>
        <v>Sa</v>
      </c>
      <c r="G2" s="7" t="s">
        <v>44</v>
      </c>
      <c r="H2" s="7" t="s">
        <v>10</v>
      </c>
      <c r="I2" s="7" t="s">
        <v>45</v>
      </c>
      <c r="J2" s="7"/>
      <c r="K2" s="7" t="s">
        <v>46</v>
      </c>
      <c r="L2" s="7"/>
      <c r="M2" s="7" t="str">
        <f aca="true">IF(H2="erledigt","",IF(E2&lt;TODAY(),"ÜBERFÄLLIG",IF(E2-TODAY()&lt;=2,"bald fällig","")))</f>
        <v/>
      </c>
    </row>
    <row r="3" customFormat="false" ht="15" hidden="false" customHeight="false" outlineLevel="0" collapsed="false">
      <c r="A3" s="7" t="n">
        <v>2</v>
      </c>
      <c r="B3" s="7" t="s">
        <v>16</v>
      </c>
      <c r="C3" s="7" t="s">
        <v>47</v>
      </c>
      <c r="D3" s="8" t="n">
        <v>46319</v>
      </c>
      <c r="E3" s="8" t="n">
        <v>46319</v>
      </c>
      <c r="F3" s="7" t="str">
        <f aca="false">CHOOSE(WEEKDAY(E3,2),"Mo","Di","Mi","Do","Fr","Sa","So")</f>
        <v>Sa</v>
      </c>
      <c r="G3" s="7" t="s">
        <v>44</v>
      </c>
      <c r="H3" s="7" t="s">
        <v>10</v>
      </c>
      <c r="I3" s="7" t="s">
        <v>45</v>
      </c>
      <c r="J3" s="7"/>
      <c r="K3" s="7" t="s">
        <v>46</v>
      </c>
      <c r="L3" s="7"/>
      <c r="M3" s="7" t="str">
        <f aca="true">IF(H3="erledigt","",IF(E3&lt;TODAY(),"ÜBERFÄLLIG",IF(E3-TODAY()&lt;=2,"bald fällig","")))</f>
        <v/>
      </c>
    </row>
    <row r="4" customFormat="false" ht="15" hidden="false" customHeight="false" outlineLevel="0" collapsed="false">
      <c r="A4" s="7" t="n">
        <v>3</v>
      </c>
      <c r="B4" s="7" t="s">
        <v>14</v>
      </c>
      <c r="C4" s="7" t="s">
        <v>48</v>
      </c>
      <c r="D4" s="8" t="n">
        <v>46319</v>
      </c>
      <c r="E4" s="8" t="n">
        <v>46319</v>
      </c>
      <c r="F4" s="7" t="str">
        <f aca="false">CHOOSE(WEEKDAY(E4,2),"Mo","Di","Mi","Do","Fr","Sa","So")</f>
        <v>Sa</v>
      </c>
      <c r="G4" s="7" t="s">
        <v>49</v>
      </c>
      <c r="H4" s="7" t="s">
        <v>10</v>
      </c>
      <c r="I4" s="7" t="s">
        <v>45</v>
      </c>
      <c r="J4" s="7"/>
      <c r="K4" s="7" t="s">
        <v>46</v>
      </c>
      <c r="L4" s="7"/>
      <c r="M4" s="7" t="str">
        <f aca="true">IF(H4="erledigt","",IF(E4&lt;TODAY(),"ÜBERFÄLLIG",IF(E4-TODAY()&lt;=2,"bald fällig","")))</f>
        <v/>
      </c>
    </row>
    <row r="5" customFormat="false" ht="15" hidden="false" customHeight="false" outlineLevel="0" collapsed="false">
      <c r="A5" s="7" t="n">
        <v>4</v>
      </c>
      <c r="B5" s="7" t="s">
        <v>19</v>
      </c>
      <c r="C5" s="7" t="s">
        <v>50</v>
      </c>
      <c r="D5" s="8" t="n">
        <v>46319</v>
      </c>
      <c r="E5" s="8" t="n">
        <v>46319</v>
      </c>
      <c r="F5" s="7" t="str">
        <f aca="false">CHOOSE(WEEKDAY(E5,2),"Mo","Di","Mi","Do","Fr","Sa","So")</f>
        <v>Sa</v>
      </c>
      <c r="G5" s="7" t="s">
        <v>44</v>
      </c>
      <c r="H5" s="7" t="s">
        <v>10</v>
      </c>
      <c r="I5" s="7" t="s">
        <v>45</v>
      </c>
      <c r="J5" s="7"/>
      <c r="K5" s="7" t="s">
        <v>46</v>
      </c>
      <c r="L5" s="7"/>
      <c r="M5" s="7" t="str">
        <f aca="true">IF(H5="erledigt","",IF(E5&lt;TODAY(),"ÜBERFÄLLIG",IF(E5-TODAY()&lt;=2,"bald fällig","")))</f>
        <v/>
      </c>
    </row>
    <row r="6" customFormat="false" ht="15" hidden="false" customHeight="false" outlineLevel="0" collapsed="false">
      <c r="A6" s="7" t="n">
        <v>5</v>
      </c>
      <c r="B6" s="7" t="s">
        <v>20</v>
      </c>
      <c r="C6" s="7" t="s">
        <v>51</v>
      </c>
      <c r="D6" s="8" t="n">
        <v>46319</v>
      </c>
      <c r="E6" s="8" t="n">
        <v>46319</v>
      </c>
      <c r="F6" s="7" t="str">
        <f aca="false">CHOOSE(WEEKDAY(E6,2),"Mo","Di","Mi","Do","Fr","Sa","So")</f>
        <v>Sa</v>
      </c>
      <c r="G6" s="7" t="s">
        <v>44</v>
      </c>
      <c r="H6" s="7" t="s">
        <v>10</v>
      </c>
      <c r="I6" s="7" t="s">
        <v>45</v>
      </c>
      <c r="J6" s="7"/>
      <c r="K6" s="7" t="s">
        <v>46</v>
      </c>
      <c r="L6" s="7"/>
      <c r="M6" s="7" t="str">
        <f aca="true">IF(H6="erledigt","",IF(E6&lt;TODAY(),"ÜBERFÄLLIG",IF(E6-TODAY()&lt;=2,"bald fällig","")))</f>
        <v/>
      </c>
    </row>
    <row r="7" customFormat="false" ht="15" hidden="false" customHeight="false" outlineLevel="0" collapsed="false">
      <c r="A7" s="7" t="n">
        <v>6</v>
      </c>
      <c r="B7" s="7" t="s">
        <v>16</v>
      </c>
      <c r="C7" s="7" t="s">
        <v>52</v>
      </c>
      <c r="D7" s="8" t="n">
        <v>46319</v>
      </c>
      <c r="E7" s="8" t="n">
        <v>46319</v>
      </c>
      <c r="F7" s="7" t="str">
        <f aca="false">CHOOSE(WEEKDAY(E7,2),"Mo","Di","Mi","Do","Fr","Sa","So")</f>
        <v>Sa</v>
      </c>
      <c r="G7" s="7" t="s">
        <v>44</v>
      </c>
      <c r="H7" s="7" t="s">
        <v>10</v>
      </c>
      <c r="I7" s="7" t="s">
        <v>45</v>
      </c>
      <c r="J7" s="7"/>
      <c r="K7" s="7" t="s">
        <v>46</v>
      </c>
      <c r="L7" s="7"/>
      <c r="M7" s="7" t="str">
        <f aca="true">IF(H7="erledigt","",IF(E7&lt;TODAY(),"ÜBERFÄLLIG",IF(E7-TODAY()&lt;=2,"bald fällig","")))</f>
        <v/>
      </c>
    </row>
    <row r="8" customFormat="false" ht="23.85" hidden="false" customHeight="false" outlineLevel="0" collapsed="false">
      <c r="A8" s="7" t="n">
        <v>7</v>
      </c>
      <c r="B8" s="7" t="s">
        <v>13</v>
      </c>
      <c r="C8" s="7" t="s">
        <v>53</v>
      </c>
      <c r="D8" s="8" t="n">
        <v>46319</v>
      </c>
      <c r="E8" s="8" t="n">
        <v>46319</v>
      </c>
      <c r="F8" s="7" t="str">
        <f aca="false">CHOOSE(WEEKDAY(E8,2),"Mo","Di","Mi","Do","Fr","Sa","So")</f>
        <v>Sa</v>
      </c>
      <c r="G8" s="7" t="s">
        <v>44</v>
      </c>
      <c r="H8" s="7" t="s">
        <v>10</v>
      </c>
      <c r="I8" s="7" t="s">
        <v>45</v>
      </c>
      <c r="J8" s="7"/>
      <c r="K8" s="7" t="s">
        <v>46</v>
      </c>
      <c r="L8" s="7"/>
      <c r="M8" s="7" t="str">
        <f aca="true">IF(H8="erledigt","",IF(E8&lt;TODAY(),"ÜBERFÄLLIG",IF(E8-TODAY()&lt;=2,"bald fällig","")))</f>
        <v/>
      </c>
    </row>
    <row r="9" customFormat="false" ht="23.85" hidden="false" customHeight="false" outlineLevel="0" collapsed="false">
      <c r="A9" s="7" t="n">
        <v>8</v>
      </c>
      <c r="B9" s="7" t="s">
        <v>13</v>
      </c>
      <c r="C9" s="7" t="s">
        <v>54</v>
      </c>
      <c r="D9" s="8" t="n">
        <v>46319</v>
      </c>
      <c r="E9" s="8" t="n">
        <v>46319</v>
      </c>
      <c r="F9" s="7" t="str">
        <f aca="false">CHOOSE(WEEKDAY(E9,2),"Mo","Di","Mi","Do","Fr","Sa","So")</f>
        <v>Sa</v>
      </c>
      <c r="G9" s="7" t="s">
        <v>55</v>
      </c>
      <c r="H9" s="7" t="s">
        <v>10</v>
      </c>
      <c r="I9" s="7" t="s">
        <v>45</v>
      </c>
      <c r="J9" s="7"/>
      <c r="K9" s="7" t="s">
        <v>56</v>
      </c>
      <c r="L9" s="7"/>
      <c r="M9" s="7" t="str">
        <f aca="true">IF(H9="erledigt","",IF(E9&lt;TODAY(),"ÜBERFÄLLIG",IF(E9-TODAY()&lt;=2,"bald fällig","")))</f>
        <v/>
      </c>
    </row>
    <row r="10" customFormat="false" ht="15" hidden="false" customHeight="false" outlineLevel="0" collapsed="false">
      <c r="A10" s="7" t="n">
        <v>9</v>
      </c>
      <c r="B10" s="7" t="s">
        <v>19</v>
      </c>
      <c r="C10" s="7" t="s">
        <v>57</v>
      </c>
      <c r="D10" s="8" t="n">
        <v>46319</v>
      </c>
      <c r="E10" s="8" t="n">
        <v>46319</v>
      </c>
      <c r="F10" s="7" t="str">
        <f aca="false">CHOOSE(WEEKDAY(E10,2),"Mo","Di","Mi","Do","Fr","Sa","So")</f>
        <v>Sa</v>
      </c>
      <c r="G10" s="7" t="s">
        <v>55</v>
      </c>
      <c r="H10" s="7" t="s">
        <v>10</v>
      </c>
      <c r="I10" s="7" t="s">
        <v>45</v>
      </c>
      <c r="J10" s="7"/>
      <c r="K10" s="7" t="s">
        <v>56</v>
      </c>
      <c r="L10" s="7"/>
      <c r="M10" s="7" t="str">
        <f aca="true">IF(H10="erledigt","",IF(E10&lt;TODAY(),"ÜBERFÄLLIG",IF(E10-TODAY()&lt;=2,"bald fällig","")))</f>
        <v/>
      </c>
    </row>
    <row r="11" customFormat="false" ht="15" hidden="false" customHeight="false" outlineLevel="0" collapsed="false">
      <c r="A11" s="7" t="n">
        <v>10</v>
      </c>
      <c r="B11" s="7" t="s">
        <v>16</v>
      </c>
      <c r="C11" s="7" t="s">
        <v>58</v>
      </c>
      <c r="D11" s="8" t="n">
        <v>46319</v>
      </c>
      <c r="E11" s="8" t="n">
        <v>46319</v>
      </c>
      <c r="F11" s="7" t="str">
        <f aca="false">CHOOSE(WEEKDAY(E11,2),"Mo","Di","Mi","Do","Fr","Sa","So")</f>
        <v>Sa</v>
      </c>
      <c r="G11" s="7" t="s">
        <v>55</v>
      </c>
      <c r="H11" s="7" t="s">
        <v>10</v>
      </c>
      <c r="I11" s="7" t="s">
        <v>45</v>
      </c>
      <c r="J11" s="7"/>
      <c r="K11" s="7" t="s">
        <v>56</v>
      </c>
      <c r="L11" s="7"/>
      <c r="M11" s="7" t="str">
        <f aca="true">IF(H11="erledigt","",IF(E11&lt;TODAY(),"ÜBERFÄLLIG",IF(E11-TODAY()&lt;=2,"bald fällig","")))</f>
        <v/>
      </c>
    </row>
    <row r="12" customFormat="false" ht="15" hidden="false" customHeight="false" outlineLevel="0" collapsed="false">
      <c r="A12" s="7" t="n">
        <v>11</v>
      </c>
      <c r="B12" s="7" t="s">
        <v>14</v>
      </c>
      <c r="C12" s="7" t="s">
        <v>59</v>
      </c>
      <c r="D12" s="8" t="n">
        <v>46319</v>
      </c>
      <c r="E12" s="8" t="n">
        <v>46320</v>
      </c>
      <c r="F12" s="7" t="str">
        <f aca="false">CHOOSE(WEEKDAY(E12,2),"Mo","Di","Mi","Do","Fr","Sa","So")</f>
        <v>So</v>
      </c>
      <c r="G12" s="7" t="s">
        <v>44</v>
      </c>
      <c r="H12" s="7" t="s">
        <v>11</v>
      </c>
      <c r="I12" s="7" t="s">
        <v>60</v>
      </c>
      <c r="J12" s="7"/>
      <c r="K12" s="7" t="s">
        <v>61</v>
      </c>
      <c r="L12" s="7"/>
      <c r="M12" s="7" t="str">
        <f aca="true">IF(H12="erledigt","",IF(E12&lt;TODAY(),"ÜBERFÄLLIG",IF(E12-TODAY()&lt;=2,"bald fällig","")))</f>
        <v>bald fällig</v>
      </c>
    </row>
    <row r="13" customFormat="false" ht="15" hidden="false" customHeight="false" outlineLevel="0" collapsed="false">
      <c r="A13" s="7" t="n">
        <v>12</v>
      </c>
      <c r="B13" s="7" t="s">
        <v>16</v>
      </c>
      <c r="C13" s="7" t="s">
        <v>62</v>
      </c>
      <c r="D13" s="8" t="n">
        <v>46319</v>
      </c>
      <c r="E13" s="8" t="n">
        <v>46320</v>
      </c>
      <c r="F13" s="7" t="str">
        <f aca="false">CHOOSE(WEEKDAY(E13,2),"Mo","Di","Mi","Do","Fr","Sa","So")</f>
        <v>So</v>
      </c>
      <c r="G13" s="7" t="s">
        <v>44</v>
      </c>
      <c r="H13" s="7" t="s">
        <v>11</v>
      </c>
      <c r="I13" s="7" t="s">
        <v>60</v>
      </c>
      <c r="J13" s="7"/>
      <c r="K13" s="7" t="s">
        <v>61</v>
      </c>
      <c r="L13" s="7" t="s">
        <v>63</v>
      </c>
      <c r="M13" s="7" t="str">
        <f aca="true">IF(H13="erledigt","",IF(E13&lt;TODAY(),"ÜBERFÄLLIG",IF(E13-TODAY()&lt;=2,"bald fällig","")))</f>
        <v>bald fällig</v>
      </c>
    </row>
    <row r="14" customFormat="false" ht="15" hidden="false" customHeight="false" outlineLevel="0" collapsed="false">
      <c r="A14" s="7" t="n">
        <v>13</v>
      </c>
      <c r="B14" s="7" t="s">
        <v>16</v>
      </c>
      <c r="C14" s="7" t="s">
        <v>64</v>
      </c>
      <c r="D14" s="8" t="n">
        <v>46319</v>
      </c>
      <c r="E14" s="8" t="n">
        <v>46320</v>
      </c>
      <c r="F14" s="7" t="str">
        <f aca="false">CHOOSE(WEEKDAY(E14,2),"Mo","Di","Mi","Do","Fr","Sa","So")</f>
        <v>So</v>
      </c>
      <c r="G14" s="7" t="s">
        <v>44</v>
      </c>
      <c r="H14" s="7" t="s">
        <v>11</v>
      </c>
      <c r="I14" s="7" t="s">
        <v>60</v>
      </c>
      <c r="J14" s="7"/>
      <c r="K14" s="7" t="s">
        <v>61</v>
      </c>
      <c r="L14" s="7"/>
      <c r="M14" s="7" t="str">
        <f aca="true">IF(H14="erledigt","",IF(E14&lt;TODAY(),"ÜBERFÄLLIG",IF(E14-TODAY()&lt;=2,"bald fällig","")))</f>
        <v>bald fällig</v>
      </c>
    </row>
    <row r="15" customFormat="false" ht="23.85" hidden="false" customHeight="false" outlineLevel="0" collapsed="false">
      <c r="A15" s="7" t="n">
        <v>14</v>
      </c>
      <c r="B15" s="7" t="s">
        <v>16</v>
      </c>
      <c r="C15" s="7" t="s">
        <v>65</v>
      </c>
      <c r="D15" s="8" t="n">
        <v>46320</v>
      </c>
      <c r="E15" s="8" t="n">
        <v>46320</v>
      </c>
      <c r="F15" s="7" t="str">
        <f aca="false">CHOOSE(WEEKDAY(E15,2),"Mo","Di","Mi","Do","Fr","Sa","So")</f>
        <v>So</v>
      </c>
      <c r="G15" s="7" t="s">
        <v>44</v>
      </c>
      <c r="H15" s="7" t="s">
        <v>11</v>
      </c>
      <c r="I15" s="7" t="s">
        <v>60</v>
      </c>
      <c r="J15" s="7"/>
      <c r="K15" s="7" t="s">
        <v>61</v>
      </c>
      <c r="L15" s="7" t="s">
        <v>66</v>
      </c>
      <c r="M15" s="7" t="str">
        <f aca="true">IF(H15="erledigt","",IF(E15&lt;TODAY(),"ÜBERFÄLLIG",IF(E15-TODAY()&lt;=2,"bald fällig","")))</f>
        <v>bald fällig</v>
      </c>
    </row>
    <row r="16" customFormat="false" ht="68.65" hidden="false" customHeight="false" outlineLevel="0" collapsed="false">
      <c r="A16" s="7" t="n">
        <v>15</v>
      </c>
      <c r="B16" s="7" t="s">
        <v>13</v>
      </c>
      <c r="C16" s="7" t="s">
        <v>67</v>
      </c>
      <c r="D16" s="8" t="n">
        <v>46319</v>
      </c>
      <c r="E16" s="8" t="n">
        <v>46321</v>
      </c>
      <c r="F16" s="7" t="str">
        <f aca="false">CHOOSE(WEEKDAY(E16,2),"Mo","Di","Mi","Do","Fr","Sa","So")</f>
        <v>Mo</v>
      </c>
      <c r="G16" s="7" t="s">
        <v>68</v>
      </c>
      <c r="H16" s="7" t="s">
        <v>10</v>
      </c>
      <c r="I16" s="7" t="s">
        <v>60</v>
      </c>
      <c r="J16" s="7"/>
      <c r="K16" s="7" t="s">
        <v>46</v>
      </c>
      <c r="L16" s="7" t="s">
        <v>69</v>
      </c>
      <c r="M16" s="7" t="str">
        <f aca="true">IF(H16="erledigt","",IF(E16&lt;TODAY(),"ÜBERFÄLLIG",IF(E16-TODAY()&lt;=2,"bald fällig","")))</f>
        <v/>
      </c>
    </row>
    <row r="17" customFormat="false" ht="15" hidden="false" customHeight="false" outlineLevel="0" collapsed="false">
      <c r="A17" s="7" t="n">
        <v>16</v>
      </c>
      <c r="B17" s="7" t="s">
        <v>14</v>
      </c>
      <c r="C17" s="7" t="s">
        <v>70</v>
      </c>
      <c r="D17" s="8" t="n">
        <v>46319</v>
      </c>
      <c r="E17" s="8" t="n">
        <v>46321</v>
      </c>
      <c r="F17" s="7" t="str">
        <f aca="false">CHOOSE(WEEKDAY(E17,2),"Mo","Di","Mi","Do","Fr","Sa","So")</f>
        <v>Mo</v>
      </c>
      <c r="G17" s="7" t="s">
        <v>71</v>
      </c>
      <c r="H17" s="7" t="s">
        <v>11</v>
      </c>
      <c r="I17" s="7" t="s">
        <v>60</v>
      </c>
      <c r="J17" s="7"/>
      <c r="K17" s="7" t="s">
        <v>61</v>
      </c>
      <c r="L17" s="7" t="s">
        <v>72</v>
      </c>
      <c r="M17" s="7" t="str">
        <f aca="true">IF(H17="erledigt","",IF(E17&lt;TODAY(),"ÜBERFÄLLIG",IF(E17-TODAY()&lt;=2,"bald fällig","")))</f>
        <v>bald fällig</v>
      </c>
    </row>
    <row r="18" customFormat="false" ht="23.85" hidden="false" customHeight="false" outlineLevel="0" collapsed="false">
      <c r="A18" s="7" t="n">
        <v>17</v>
      </c>
      <c r="B18" s="7" t="s">
        <v>15</v>
      </c>
      <c r="C18" s="7" t="s">
        <v>73</v>
      </c>
      <c r="D18" s="8" t="n">
        <v>46319</v>
      </c>
      <c r="E18" s="8" t="n">
        <v>46321</v>
      </c>
      <c r="F18" s="7" t="str">
        <f aca="false">CHOOSE(WEEKDAY(E18,2),"Mo","Di","Mi","Do","Fr","Sa","So")</f>
        <v>Mo</v>
      </c>
      <c r="G18" s="7" t="s">
        <v>44</v>
      </c>
      <c r="H18" s="7" t="s">
        <v>11</v>
      </c>
      <c r="I18" s="7" t="s">
        <v>60</v>
      </c>
      <c r="J18" s="7" t="s">
        <v>74</v>
      </c>
      <c r="K18" s="7" t="s">
        <v>61</v>
      </c>
      <c r="L18" s="7" t="s">
        <v>75</v>
      </c>
      <c r="M18" s="7" t="str">
        <f aca="true">IF(H18="erledigt","",IF(E18&lt;TODAY(),"ÜBERFÄLLIG",IF(E18-TODAY()&lt;=2,"bald fällig","")))</f>
        <v>bald fällig</v>
      </c>
    </row>
    <row r="19" customFormat="false" ht="15" hidden="false" customHeight="false" outlineLevel="0" collapsed="false">
      <c r="A19" s="7" t="n">
        <v>18</v>
      </c>
      <c r="B19" s="7" t="s">
        <v>15</v>
      </c>
      <c r="C19" s="7" t="s">
        <v>76</v>
      </c>
      <c r="D19" s="8" t="n">
        <v>46319</v>
      </c>
      <c r="E19" s="8" t="n">
        <v>46321</v>
      </c>
      <c r="F19" s="7" t="str">
        <f aca="false">CHOOSE(WEEKDAY(E19,2),"Mo","Di","Mi","Do","Fr","Sa","So")</f>
        <v>Mo</v>
      </c>
      <c r="G19" s="7" t="s">
        <v>44</v>
      </c>
      <c r="H19" s="7" t="s">
        <v>11</v>
      </c>
      <c r="I19" s="7" t="s">
        <v>60</v>
      </c>
      <c r="J19" s="7"/>
      <c r="K19" s="7" t="s">
        <v>46</v>
      </c>
      <c r="L19" s="7"/>
      <c r="M19" s="7" t="str">
        <f aca="true">IF(H19="erledigt","",IF(E19&lt;TODAY(),"ÜBERFÄLLIG",IF(E19-TODAY()&lt;=2,"bald fällig","")))</f>
        <v>bald fällig</v>
      </c>
    </row>
    <row r="20" customFormat="false" ht="15" hidden="false" customHeight="false" outlineLevel="0" collapsed="false">
      <c r="A20" s="7" t="n">
        <v>19</v>
      </c>
      <c r="B20" s="7" t="s">
        <v>16</v>
      </c>
      <c r="C20" s="7" t="s">
        <v>77</v>
      </c>
      <c r="D20" s="8" t="n">
        <v>46319</v>
      </c>
      <c r="E20" s="8" t="n">
        <v>46321</v>
      </c>
      <c r="F20" s="7" t="str">
        <f aca="false">CHOOSE(WEEKDAY(E20,2),"Mo","Di","Mi","Do","Fr","Sa","So")</f>
        <v>Mo</v>
      </c>
      <c r="G20" s="7" t="s">
        <v>44</v>
      </c>
      <c r="H20" s="7" t="s">
        <v>11</v>
      </c>
      <c r="I20" s="7" t="s">
        <v>60</v>
      </c>
      <c r="J20" s="7"/>
      <c r="K20" s="7" t="s">
        <v>46</v>
      </c>
      <c r="L20" s="7" t="s">
        <v>78</v>
      </c>
      <c r="M20" s="7" t="str">
        <f aca="true">IF(H20="erledigt","",IF(E20&lt;TODAY(),"ÜBERFÄLLIG",IF(E20-TODAY()&lt;=2,"bald fällig","")))</f>
        <v>bald fällig</v>
      </c>
    </row>
    <row r="21" customFormat="false" ht="23.85" hidden="false" customHeight="false" outlineLevel="0" collapsed="false">
      <c r="A21" s="7" t="n">
        <v>20</v>
      </c>
      <c r="B21" s="7" t="s">
        <v>20</v>
      </c>
      <c r="C21" s="7" t="s">
        <v>79</v>
      </c>
      <c r="D21" s="8" t="n">
        <v>46319</v>
      </c>
      <c r="E21" s="8" t="n">
        <v>46321</v>
      </c>
      <c r="F21" s="7" t="str">
        <f aca="false">CHOOSE(WEEKDAY(E21,2),"Mo","Di","Mi","Do","Fr","Sa","So")</f>
        <v>Mo</v>
      </c>
      <c r="G21" s="7" t="s">
        <v>44</v>
      </c>
      <c r="H21" s="7" t="s">
        <v>11</v>
      </c>
      <c r="I21" s="7" t="s">
        <v>60</v>
      </c>
      <c r="J21" s="7" t="s">
        <v>80</v>
      </c>
      <c r="K21" s="7" t="s">
        <v>46</v>
      </c>
      <c r="L21" s="7" t="s">
        <v>81</v>
      </c>
      <c r="M21" s="7" t="str">
        <f aca="true">IF(H21="erledigt","",IF(E21&lt;TODAY(),"ÜBERFÄLLIG",IF(E21-TODAY()&lt;=2,"bald fällig","")))</f>
        <v>bald fällig</v>
      </c>
    </row>
    <row r="22" customFormat="false" ht="15" hidden="false" customHeight="false" outlineLevel="0" collapsed="false">
      <c r="A22" s="7" t="n">
        <v>21</v>
      </c>
      <c r="B22" s="7" t="s">
        <v>20</v>
      </c>
      <c r="C22" s="7" t="s">
        <v>82</v>
      </c>
      <c r="D22" s="8" t="n">
        <v>46319</v>
      </c>
      <c r="E22" s="8" t="n">
        <v>46321</v>
      </c>
      <c r="F22" s="7" t="str">
        <f aca="false">CHOOSE(WEEKDAY(E22,2),"Mo","Di","Mi","Do","Fr","Sa","So")</f>
        <v>Mo</v>
      </c>
      <c r="G22" s="7" t="s">
        <v>44</v>
      </c>
      <c r="H22" s="7" t="s">
        <v>11</v>
      </c>
      <c r="I22" s="7" t="s">
        <v>60</v>
      </c>
      <c r="J22" s="7"/>
      <c r="K22" s="7" t="s">
        <v>83</v>
      </c>
      <c r="L22" s="7"/>
      <c r="M22" s="7" t="str">
        <f aca="true">IF(H22="erledigt","",IF(E22&lt;TODAY(),"ÜBERFÄLLIG",IF(E22-TODAY()&lt;=2,"bald fällig","")))</f>
        <v>bald fällig</v>
      </c>
    </row>
    <row r="23" customFormat="false" ht="15" hidden="false" customHeight="false" outlineLevel="0" collapsed="false">
      <c r="A23" s="7" t="n">
        <v>22</v>
      </c>
      <c r="B23" s="7" t="s">
        <v>21</v>
      </c>
      <c r="C23" s="7" t="s">
        <v>84</v>
      </c>
      <c r="D23" s="8" t="n">
        <v>46321</v>
      </c>
      <c r="E23" s="8" t="n">
        <v>46321</v>
      </c>
      <c r="F23" s="7" t="str">
        <f aca="false">CHOOSE(WEEKDAY(E23,2),"Mo","Di","Mi","Do","Fr","Sa","So")</f>
        <v>Mo</v>
      </c>
      <c r="G23" s="7" t="s">
        <v>44</v>
      </c>
      <c r="H23" s="7" t="s">
        <v>11</v>
      </c>
      <c r="I23" s="7" t="s">
        <v>60</v>
      </c>
      <c r="J23" s="7"/>
      <c r="K23" s="7" t="s">
        <v>46</v>
      </c>
      <c r="L23" s="7" t="s">
        <v>85</v>
      </c>
      <c r="M23" s="7" t="str">
        <f aca="true">IF(H23="erledigt","",IF(E23&lt;TODAY(),"ÜBERFÄLLIG",IF(E23-TODAY()&lt;=2,"bald fällig","")))</f>
        <v>bald fällig</v>
      </c>
    </row>
    <row r="24" customFormat="false" ht="15" hidden="false" customHeight="false" outlineLevel="0" collapsed="false">
      <c r="A24" s="7" t="n">
        <v>23</v>
      </c>
      <c r="B24" s="7" t="s">
        <v>14</v>
      </c>
      <c r="C24" s="7" t="s">
        <v>86</v>
      </c>
      <c r="D24" s="8" t="n">
        <v>46320</v>
      </c>
      <c r="E24" s="8" t="n">
        <v>46321</v>
      </c>
      <c r="F24" s="7" t="str">
        <f aca="false">CHOOSE(WEEKDAY(E24,2),"Mo","Di","Mi","Do","Fr","Sa","So")</f>
        <v>Mo</v>
      </c>
      <c r="G24" s="7" t="s">
        <v>44</v>
      </c>
      <c r="H24" s="7" t="s">
        <v>10</v>
      </c>
      <c r="I24" s="7" t="s">
        <v>45</v>
      </c>
      <c r="J24" s="7"/>
      <c r="K24" s="7" t="s">
        <v>46</v>
      </c>
      <c r="L24" s="7" t="s">
        <v>87</v>
      </c>
      <c r="M24" s="7" t="str">
        <f aca="true">IF(H24="erledigt","",IF(E24&lt;TODAY(),"ÜBERFÄLLIG",IF(E24-TODAY()&lt;=2,"bald fällig","")))</f>
        <v/>
      </c>
    </row>
    <row r="25" customFormat="false" ht="15" hidden="false" customHeight="false" outlineLevel="0" collapsed="false">
      <c r="A25" s="7" t="n">
        <v>24</v>
      </c>
      <c r="B25" s="7" t="s">
        <v>13</v>
      </c>
      <c r="C25" s="7" t="s">
        <v>88</v>
      </c>
      <c r="D25" s="8" t="n">
        <v>46319</v>
      </c>
      <c r="E25" s="8" t="n">
        <v>46322</v>
      </c>
      <c r="F25" s="7" t="str">
        <f aca="false">CHOOSE(WEEKDAY(E25,2),"Mo","Di","Mi","Do","Fr","Sa","So")</f>
        <v>Di</v>
      </c>
      <c r="G25" s="7" t="s">
        <v>68</v>
      </c>
      <c r="H25" s="7" t="s">
        <v>11</v>
      </c>
      <c r="I25" s="7" t="s">
        <v>60</v>
      </c>
      <c r="J25" s="7"/>
      <c r="K25" s="7" t="s">
        <v>61</v>
      </c>
      <c r="L25" s="7" t="s">
        <v>89</v>
      </c>
      <c r="M25" s="7" t="str">
        <f aca="true">IF(H25="erledigt","",IF(E25&lt;TODAY(),"ÜBERFÄLLIG",IF(E25-TODAY()&lt;=2,"bald fällig","")))</f>
        <v/>
      </c>
    </row>
    <row r="26" customFormat="false" ht="23.85" hidden="false" customHeight="false" outlineLevel="0" collapsed="false">
      <c r="A26" s="7" t="n">
        <v>25</v>
      </c>
      <c r="B26" s="7" t="s">
        <v>14</v>
      </c>
      <c r="C26" s="7" t="s">
        <v>90</v>
      </c>
      <c r="D26" s="8" t="n">
        <v>46320</v>
      </c>
      <c r="E26" s="8" t="n">
        <v>46322</v>
      </c>
      <c r="F26" s="7" t="str">
        <f aca="false">CHOOSE(WEEKDAY(E26,2),"Mo","Di","Mi","Do","Fr","Sa","So")</f>
        <v>Di</v>
      </c>
      <c r="G26" s="7" t="s">
        <v>71</v>
      </c>
      <c r="H26" s="7" t="s">
        <v>11</v>
      </c>
      <c r="I26" s="7" t="s">
        <v>60</v>
      </c>
      <c r="J26" s="7" t="s">
        <v>91</v>
      </c>
      <c r="K26" s="7" t="s">
        <v>61</v>
      </c>
      <c r="L26" s="7"/>
      <c r="M26" s="7" t="str">
        <f aca="true">IF(H26="erledigt","",IF(E26&lt;TODAY(),"ÜBERFÄLLIG",IF(E26-TODAY()&lt;=2,"bald fällig","")))</f>
        <v/>
      </c>
    </row>
    <row r="27" customFormat="false" ht="15" hidden="false" customHeight="false" outlineLevel="0" collapsed="false">
      <c r="A27" s="7" t="n">
        <v>26</v>
      </c>
      <c r="B27" s="7" t="s">
        <v>15</v>
      </c>
      <c r="C27" s="7" t="s">
        <v>92</v>
      </c>
      <c r="D27" s="8" t="n">
        <v>46322</v>
      </c>
      <c r="E27" s="8" t="n">
        <v>46322</v>
      </c>
      <c r="F27" s="7" t="str">
        <f aca="false">CHOOSE(WEEKDAY(E27,2),"Mo","Di","Mi","Do","Fr","Sa","So")</f>
        <v>Di</v>
      </c>
      <c r="G27" s="7" t="s">
        <v>44</v>
      </c>
      <c r="H27" s="7" t="s">
        <v>11</v>
      </c>
      <c r="I27" s="7" t="s">
        <v>60</v>
      </c>
      <c r="J27" s="7" t="s">
        <v>93</v>
      </c>
      <c r="K27" s="7" t="s">
        <v>46</v>
      </c>
      <c r="L27" s="7" t="s">
        <v>94</v>
      </c>
      <c r="M27" s="7" t="str">
        <f aca="true">IF(H27="erledigt","",IF(E27&lt;TODAY(),"ÜBERFÄLLIG",IF(E27-TODAY()&lt;=2,"bald fällig","")))</f>
        <v/>
      </c>
    </row>
    <row r="28" customFormat="false" ht="15" hidden="false" customHeight="false" outlineLevel="0" collapsed="false">
      <c r="A28" s="7" t="n">
        <v>27</v>
      </c>
      <c r="B28" s="7" t="s">
        <v>15</v>
      </c>
      <c r="C28" s="7" t="s">
        <v>95</v>
      </c>
      <c r="D28" s="8" t="n">
        <v>46322</v>
      </c>
      <c r="E28" s="8" t="n">
        <v>46322</v>
      </c>
      <c r="F28" s="7" t="str">
        <f aca="false">CHOOSE(WEEKDAY(E28,2),"Mo","Di","Mi","Do","Fr","Sa","So")</f>
        <v>Di</v>
      </c>
      <c r="G28" s="7" t="s">
        <v>44</v>
      </c>
      <c r="H28" s="7" t="s">
        <v>11</v>
      </c>
      <c r="I28" s="7" t="s">
        <v>60</v>
      </c>
      <c r="J28" s="7"/>
      <c r="K28" s="7" t="s">
        <v>46</v>
      </c>
      <c r="L28" s="7"/>
      <c r="M28" s="7" t="str">
        <f aca="true">IF(H28="erledigt","",IF(E28&lt;TODAY(),"ÜBERFÄLLIG",IF(E28-TODAY()&lt;=2,"bald fällig","")))</f>
        <v/>
      </c>
    </row>
    <row r="29" customFormat="false" ht="15" hidden="false" customHeight="false" outlineLevel="0" collapsed="false">
      <c r="A29" s="7" t="n">
        <v>28</v>
      </c>
      <c r="B29" s="7" t="s">
        <v>17</v>
      </c>
      <c r="C29" s="7" t="s">
        <v>96</v>
      </c>
      <c r="D29" s="8" t="n">
        <v>46320</v>
      </c>
      <c r="E29" s="8" t="n">
        <v>46322</v>
      </c>
      <c r="F29" s="7" t="str">
        <f aca="false">CHOOSE(WEEKDAY(E29,2),"Mo","Di","Mi","Do","Fr","Sa","So")</f>
        <v>Di</v>
      </c>
      <c r="G29" s="7" t="s">
        <v>97</v>
      </c>
      <c r="H29" s="7" t="s">
        <v>11</v>
      </c>
      <c r="I29" s="7" t="s">
        <v>60</v>
      </c>
      <c r="J29" s="7" t="s">
        <v>98</v>
      </c>
      <c r="K29" s="7" t="s">
        <v>61</v>
      </c>
      <c r="L29" s="7" t="s">
        <v>99</v>
      </c>
      <c r="M29" s="7" t="str">
        <f aca="true">IF(H29="erledigt","",IF(E29&lt;TODAY(),"ÜBERFÄLLIG",IF(E29-TODAY()&lt;=2,"bald fällig","")))</f>
        <v/>
      </c>
    </row>
    <row r="30" customFormat="false" ht="23.85" hidden="false" customHeight="false" outlineLevel="0" collapsed="false">
      <c r="A30" s="7" t="n">
        <v>29</v>
      </c>
      <c r="B30" s="7" t="s">
        <v>17</v>
      </c>
      <c r="C30" s="7" t="s">
        <v>100</v>
      </c>
      <c r="D30" s="8" t="n">
        <v>46320</v>
      </c>
      <c r="E30" s="8" t="n">
        <v>46322</v>
      </c>
      <c r="F30" s="7" t="str">
        <f aca="false">CHOOSE(WEEKDAY(E30,2),"Mo","Di","Mi","Do","Fr","Sa","So")</f>
        <v>Di</v>
      </c>
      <c r="G30" s="7" t="s">
        <v>44</v>
      </c>
      <c r="H30" s="7" t="s">
        <v>11</v>
      </c>
      <c r="I30" s="7" t="s">
        <v>60</v>
      </c>
      <c r="J30" s="7" t="s">
        <v>101</v>
      </c>
      <c r="K30" s="7" t="s">
        <v>61</v>
      </c>
      <c r="L30" s="7"/>
      <c r="M30" s="7" t="str">
        <f aca="true">IF(H30="erledigt","",IF(E30&lt;TODAY(),"ÜBERFÄLLIG",IF(E30-TODAY()&lt;=2,"bald fällig","")))</f>
        <v/>
      </c>
    </row>
    <row r="31" customFormat="false" ht="23.85" hidden="false" customHeight="false" outlineLevel="0" collapsed="false">
      <c r="A31" s="7" t="n">
        <v>30</v>
      </c>
      <c r="B31" s="7" t="s">
        <v>18</v>
      </c>
      <c r="C31" s="7" t="s">
        <v>102</v>
      </c>
      <c r="D31" s="8" t="n">
        <v>46320</v>
      </c>
      <c r="E31" s="8" t="n">
        <v>46322</v>
      </c>
      <c r="F31" s="7" t="str">
        <f aca="false">CHOOSE(WEEKDAY(E31,2),"Mo","Di","Mi","Do","Fr","Sa","So")</f>
        <v>Di</v>
      </c>
      <c r="G31" s="7" t="s">
        <v>68</v>
      </c>
      <c r="H31" s="7" t="s">
        <v>11</v>
      </c>
      <c r="I31" s="7" t="s">
        <v>60</v>
      </c>
      <c r="J31" s="7" t="s">
        <v>103</v>
      </c>
      <c r="K31" s="7" t="s">
        <v>83</v>
      </c>
      <c r="L31" s="7" t="s">
        <v>104</v>
      </c>
      <c r="M31" s="7" t="str">
        <f aca="true">IF(H31="erledigt","",IF(E31&lt;TODAY(),"ÜBERFÄLLIG",IF(E31-TODAY()&lt;=2,"bald fällig","")))</f>
        <v/>
      </c>
    </row>
    <row r="32" customFormat="false" ht="15" hidden="false" customHeight="false" outlineLevel="0" collapsed="false">
      <c r="A32" s="7" t="n">
        <v>31</v>
      </c>
      <c r="B32" s="7" t="s">
        <v>20</v>
      </c>
      <c r="C32" s="7" t="s">
        <v>105</v>
      </c>
      <c r="D32" s="8" t="n">
        <v>46320</v>
      </c>
      <c r="E32" s="8" t="n">
        <v>46322</v>
      </c>
      <c r="F32" s="7" t="str">
        <f aca="false">CHOOSE(WEEKDAY(E32,2),"Mo","Di","Mi","Do","Fr","Sa","So")</f>
        <v>Di</v>
      </c>
      <c r="G32" s="7" t="s">
        <v>44</v>
      </c>
      <c r="H32" s="7" t="s">
        <v>11</v>
      </c>
      <c r="I32" s="7" t="s">
        <v>60</v>
      </c>
      <c r="J32" s="7"/>
      <c r="K32" s="7" t="s">
        <v>83</v>
      </c>
      <c r="L32" s="7" t="s">
        <v>106</v>
      </c>
      <c r="M32" s="7" t="str">
        <f aca="true">IF(H32="erledigt","",IF(E32&lt;TODAY(),"ÜBERFÄLLIG",IF(E32-TODAY()&lt;=2,"bald fällig","")))</f>
        <v/>
      </c>
    </row>
    <row r="33" customFormat="false" ht="46.25" hidden="false" customHeight="false" outlineLevel="0" collapsed="false">
      <c r="A33" s="7" t="n">
        <v>32</v>
      </c>
      <c r="B33" s="7" t="s">
        <v>13</v>
      </c>
      <c r="C33" s="7" t="s">
        <v>107</v>
      </c>
      <c r="D33" s="8" t="n">
        <v>46321</v>
      </c>
      <c r="E33" s="8" t="n">
        <v>46322</v>
      </c>
      <c r="F33" s="7" t="str">
        <f aca="false">CHOOSE(WEEKDAY(E33,2),"Mo","Di","Mi","Do","Fr","Sa","So")</f>
        <v>Di</v>
      </c>
      <c r="G33" s="7" t="s">
        <v>97</v>
      </c>
      <c r="H33" s="7" t="s">
        <v>11</v>
      </c>
      <c r="I33" s="7" t="s">
        <v>60</v>
      </c>
      <c r="J33" s="7"/>
      <c r="K33" s="7" t="s">
        <v>83</v>
      </c>
      <c r="L33" s="7" t="s">
        <v>108</v>
      </c>
      <c r="M33" s="7" t="str">
        <f aca="true">IF(H33="erledigt","",IF(E33&lt;TODAY(),"ÜBERFÄLLIG",IF(E33-TODAY()&lt;=2,"bald fällig","")))</f>
        <v/>
      </c>
    </row>
    <row r="34" customFormat="false" ht="23.85" hidden="false" customHeight="false" outlineLevel="0" collapsed="false">
      <c r="A34" s="7" t="n">
        <v>33</v>
      </c>
      <c r="B34" s="7" t="s">
        <v>14</v>
      </c>
      <c r="C34" s="7" t="s">
        <v>109</v>
      </c>
      <c r="D34" s="8" t="n">
        <v>46321</v>
      </c>
      <c r="E34" s="8" t="n">
        <v>46323</v>
      </c>
      <c r="F34" s="7" t="str">
        <f aca="false">CHOOSE(WEEKDAY(E34,2),"Mo","Di","Mi","Do","Fr","Sa","So")</f>
        <v>Mi</v>
      </c>
      <c r="G34" s="7" t="s">
        <v>71</v>
      </c>
      <c r="H34" s="7" t="s">
        <v>11</v>
      </c>
      <c r="I34" s="7" t="s">
        <v>60</v>
      </c>
      <c r="J34" s="7" t="s">
        <v>110</v>
      </c>
      <c r="K34" s="7" t="s">
        <v>83</v>
      </c>
      <c r="L34" s="7"/>
      <c r="M34" s="7" t="str">
        <f aca="true">IF(H34="erledigt","",IF(E34&lt;TODAY(),"ÜBERFÄLLIG",IF(E34-TODAY()&lt;=2,"bald fällig","")))</f>
        <v/>
      </c>
    </row>
    <row r="35" customFormat="false" ht="23.85" hidden="false" customHeight="false" outlineLevel="0" collapsed="false">
      <c r="A35" s="7" t="n">
        <v>34</v>
      </c>
      <c r="B35" s="7" t="s">
        <v>14</v>
      </c>
      <c r="C35" s="7" t="s">
        <v>111</v>
      </c>
      <c r="D35" s="8" t="n">
        <v>46323</v>
      </c>
      <c r="E35" s="8" t="n">
        <v>46323</v>
      </c>
      <c r="F35" s="7" t="str">
        <f aca="false">CHOOSE(WEEKDAY(E35,2),"Mo","Di","Mi","Do","Fr","Sa","So")</f>
        <v>Mi</v>
      </c>
      <c r="G35" s="7" t="s">
        <v>112</v>
      </c>
      <c r="H35" s="7" t="s">
        <v>11</v>
      </c>
      <c r="I35" s="7" t="s">
        <v>60</v>
      </c>
      <c r="J35" s="7" t="s">
        <v>113</v>
      </c>
      <c r="K35" s="7" t="s">
        <v>83</v>
      </c>
      <c r="L35" s="7" t="s">
        <v>114</v>
      </c>
      <c r="M35" s="7" t="str">
        <f aca="true">IF(H35="erledigt","",IF(E35&lt;TODAY(),"ÜBERFÄLLIG",IF(E35-TODAY()&lt;=2,"bald fällig","")))</f>
        <v/>
      </c>
    </row>
    <row r="36" customFormat="false" ht="15" hidden="false" customHeight="false" outlineLevel="0" collapsed="false">
      <c r="A36" s="7" t="n">
        <v>35</v>
      </c>
      <c r="B36" s="7" t="s">
        <v>15</v>
      </c>
      <c r="C36" s="7" t="s">
        <v>115</v>
      </c>
      <c r="D36" s="8" t="n">
        <v>46322</v>
      </c>
      <c r="E36" s="8" t="n">
        <v>46323</v>
      </c>
      <c r="F36" s="7" t="str">
        <f aca="false">CHOOSE(WEEKDAY(E36,2),"Mo","Di","Mi","Do","Fr","Sa","So")</f>
        <v>Mi</v>
      </c>
      <c r="G36" s="7" t="s">
        <v>97</v>
      </c>
      <c r="H36" s="7" t="s">
        <v>11</v>
      </c>
      <c r="I36" s="7" t="s">
        <v>60</v>
      </c>
      <c r="J36" s="7"/>
      <c r="K36" s="7" t="s">
        <v>46</v>
      </c>
      <c r="L36" s="7"/>
      <c r="M36" s="7" t="str">
        <f aca="true">IF(H36="erledigt","",IF(E36&lt;TODAY(),"ÜBERFÄLLIG",IF(E36-TODAY()&lt;=2,"bald fällig","")))</f>
        <v/>
      </c>
    </row>
    <row r="37" customFormat="false" ht="15" hidden="false" customHeight="false" outlineLevel="0" collapsed="false">
      <c r="A37" s="7" t="n">
        <v>36</v>
      </c>
      <c r="B37" s="7" t="s">
        <v>15</v>
      </c>
      <c r="C37" s="7" t="s">
        <v>116</v>
      </c>
      <c r="D37" s="8" t="n">
        <v>46322</v>
      </c>
      <c r="E37" s="8" t="n">
        <v>46323</v>
      </c>
      <c r="F37" s="7" t="str">
        <f aca="false">CHOOSE(WEEKDAY(E37,2),"Mo","Di","Mi","Do","Fr","Sa","So")</f>
        <v>Mi</v>
      </c>
      <c r="G37" s="7" t="s">
        <v>44</v>
      </c>
      <c r="H37" s="7" t="s">
        <v>11</v>
      </c>
      <c r="I37" s="7" t="s">
        <v>60</v>
      </c>
      <c r="J37" s="7" t="s">
        <v>93</v>
      </c>
      <c r="K37" s="7" t="s">
        <v>46</v>
      </c>
      <c r="L37" s="7"/>
      <c r="M37" s="7" t="str">
        <f aca="true">IF(H37="erledigt","",IF(E37&lt;TODAY(),"ÜBERFÄLLIG",IF(E37-TODAY()&lt;=2,"bald fällig","")))</f>
        <v/>
      </c>
    </row>
    <row r="38" customFormat="false" ht="15" hidden="false" customHeight="false" outlineLevel="0" collapsed="false">
      <c r="A38" s="7" t="n">
        <v>37</v>
      </c>
      <c r="B38" s="7" t="s">
        <v>15</v>
      </c>
      <c r="C38" s="7" t="s">
        <v>117</v>
      </c>
      <c r="D38" s="8" t="n">
        <v>46321</v>
      </c>
      <c r="E38" s="8" t="n">
        <v>46323</v>
      </c>
      <c r="F38" s="7" t="str">
        <f aca="false">CHOOSE(WEEKDAY(E38,2),"Mo","Di","Mi","Do","Fr","Sa","So")</f>
        <v>Mi</v>
      </c>
      <c r="G38" s="7" t="s">
        <v>97</v>
      </c>
      <c r="H38" s="7" t="s">
        <v>11</v>
      </c>
      <c r="I38" s="7" t="s">
        <v>60</v>
      </c>
      <c r="J38" s="7" t="s">
        <v>118</v>
      </c>
      <c r="K38" s="7" t="s">
        <v>46</v>
      </c>
      <c r="L38" s="7"/>
      <c r="M38" s="7" t="str">
        <f aca="true">IF(H38="erledigt","",IF(E38&lt;TODAY(),"ÜBERFÄLLIG",IF(E38-TODAY()&lt;=2,"bald fällig","")))</f>
        <v/>
      </c>
    </row>
    <row r="39" customFormat="false" ht="15" hidden="false" customHeight="false" outlineLevel="0" collapsed="false">
      <c r="A39" s="7" t="n">
        <v>38</v>
      </c>
      <c r="B39" s="7" t="s">
        <v>16</v>
      </c>
      <c r="C39" s="7" t="s">
        <v>119</v>
      </c>
      <c r="D39" s="8" t="n">
        <v>46321</v>
      </c>
      <c r="E39" s="8" t="n">
        <v>46323</v>
      </c>
      <c r="F39" s="7" t="str">
        <f aca="false">CHOOSE(WEEKDAY(E39,2),"Mo","Di","Mi","Do","Fr","Sa","So")</f>
        <v>Mi</v>
      </c>
      <c r="G39" s="7" t="s">
        <v>44</v>
      </c>
      <c r="H39" s="7" t="s">
        <v>11</v>
      </c>
      <c r="I39" s="7" t="s">
        <v>60</v>
      </c>
      <c r="J39" s="7" t="s">
        <v>120</v>
      </c>
      <c r="K39" s="7" t="s">
        <v>46</v>
      </c>
      <c r="L39" s="7"/>
      <c r="M39" s="7" t="str">
        <f aca="true">IF(H39="erledigt","",IF(E39&lt;TODAY(),"ÜBERFÄLLIG",IF(E39-TODAY()&lt;=2,"bald fällig","")))</f>
        <v/>
      </c>
    </row>
    <row r="40" customFormat="false" ht="23.85" hidden="false" customHeight="false" outlineLevel="0" collapsed="false">
      <c r="A40" s="7" t="n">
        <v>39</v>
      </c>
      <c r="B40" s="7" t="s">
        <v>17</v>
      </c>
      <c r="C40" s="7" t="s">
        <v>121</v>
      </c>
      <c r="D40" s="8" t="n">
        <v>46322</v>
      </c>
      <c r="E40" s="8" t="n">
        <v>46323</v>
      </c>
      <c r="F40" s="7" t="str">
        <f aca="false">CHOOSE(WEEKDAY(E40,2),"Mo","Di","Mi","Do","Fr","Sa","So")</f>
        <v>Mi</v>
      </c>
      <c r="G40" s="7" t="s">
        <v>44</v>
      </c>
      <c r="H40" s="7" t="s">
        <v>11</v>
      </c>
      <c r="I40" s="7" t="s">
        <v>60</v>
      </c>
      <c r="J40" s="7" t="s">
        <v>122</v>
      </c>
      <c r="K40" s="7" t="s">
        <v>123</v>
      </c>
      <c r="L40" s="7" t="s">
        <v>124</v>
      </c>
      <c r="M40" s="7" t="str">
        <f aca="true">IF(H40="erledigt","",IF(E40&lt;TODAY(),"ÜBERFÄLLIG",IF(E40-TODAY()&lt;=2,"bald fällig","")))</f>
        <v/>
      </c>
    </row>
    <row r="41" customFormat="false" ht="23.85" hidden="false" customHeight="false" outlineLevel="0" collapsed="false">
      <c r="A41" s="7" t="n">
        <v>40</v>
      </c>
      <c r="B41" s="7" t="s">
        <v>17</v>
      </c>
      <c r="C41" s="7" t="s">
        <v>125</v>
      </c>
      <c r="D41" s="8" t="n">
        <v>46323</v>
      </c>
      <c r="E41" s="8" t="n">
        <v>46323</v>
      </c>
      <c r="F41" s="7" t="str">
        <f aca="false">CHOOSE(WEEKDAY(E41,2),"Mo","Di","Mi","Do","Fr","Sa","So")</f>
        <v>Mi</v>
      </c>
      <c r="G41" s="7" t="s">
        <v>44</v>
      </c>
      <c r="H41" s="7" t="s">
        <v>11</v>
      </c>
      <c r="I41" s="7" t="s">
        <v>60</v>
      </c>
      <c r="J41" s="7" t="s">
        <v>126</v>
      </c>
      <c r="K41" s="7" t="s">
        <v>83</v>
      </c>
      <c r="L41" s="7"/>
      <c r="M41" s="7" t="str">
        <f aca="true">IF(H41="erledigt","",IF(E41&lt;TODAY(),"ÜBERFÄLLIG",IF(E41-TODAY()&lt;=2,"bald fällig","")))</f>
        <v/>
      </c>
    </row>
    <row r="42" customFormat="false" ht="23.85" hidden="false" customHeight="false" outlineLevel="0" collapsed="false">
      <c r="A42" s="7" t="n">
        <v>41</v>
      </c>
      <c r="B42" s="7" t="s">
        <v>19</v>
      </c>
      <c r="C42" s="7" t="s">
        <v>127</v>
      </c>
      <c r="D42" s="8" t="n">
        <v>46320</v>
      </c>
      <c r="E42" s="8" t="n">
        <v>46323</v>
      </c>
      <c r="F42" s="7" t="str">
        <f aca="false">CHOOSE(WEEKDAY(E42,2),"Mo","Di","Mi","Do","Fr","Sa","So")</f>
        <v>Mi</v>
      </c>
      <c r="G42" s="7" t="s">
        <v>44</v>
      </c>
      <c r="H42" s="7" t="s">
        <v>11</v>
      </c>
      <c r="I42" s="7" t="s">
        <v>60</v>
      </c>
      <c r="J42" s="7" t="s">
        <v>128</v>
      </c>
      <c r="K42" s="7" t="s">
        <v>46</v>
      </c>
      <c r="L42" s="7" t="s">
        <v>129</v>
      </c>
      <c r="M42" s="7" t="str">
        <f aca="true">IF(H42="erledigt","",IF(E42&lt;TODAY(),"ÜBERFÄLLIG",IF(E42-TODAY()&lt;=2,"bald fällig","")))</f>
        <v/>
      </c>
    </row>
    <row r="43" customFormat="false" ht="23.85" hidden="false" customHeight="false" outlineLevel="0" collapsed="false">
      <c r="A43" s="7" t="n">
        <v>42</v>
      </c>
      <c r="B43" s="7" t="s">
        <v>20</v>
      </c>
      <c r="C43" s="7" t="s">
        <v>130</v>
      </c>
      <c r="D43" s="8" t="n">
        <v>46321</v>
      </c>
      <c r="E43" s="8" t="n">
        <v>46323</v>
      </c>
      <c r="F43" s="7" t="str">
        <f aca="false">CHOOSE(WEEKDAY(E43,2),"Mo","Di","Mi","Do","Fr","Sa","So")</f>
        <v>Mi</v>
      </c>
      <c r="G43" s="7" t="s">
        <v>131</v>
      </c>
      <c r="H43" s="7" t="s">
        <v>11</v>
      </c>
      <c r="I43" s="7" t="s">
        <v>60</v>
      </c>
      <c r="J43" s="7"/>
      <c r="K43" s="7" t="s">
        <v>83</v>
      </c>
      <c r="L43" s="7"/>
      <c r="M43" s="7" t="str">
        <f aca="true">IF(H43="erledigt","",IF(E43&lt;TODAY(),"ÜBERFÄLLIG",IF(E43-TODAY()&lt;=2,"bald fällig","")))</f>
        <v/>
      </c>
    </row>
    <row r="44" customFormat="false" ht="46.25" hidden="false" customHeight="false" outlineLevel="0" collapsed="false">
      <c r="A44" s="7" t="n">
        <v>43</v>
      </c>
      <c r="B44" s="7" t="s">
        <v>21</v>
      </c>
      <c r="C44" s="7" t="s">
        <v>132</v>
      </c>
      <c r="D44" s="8" t="n">
        <v>46321</v>
      </c>
      <c r="E44" s="8" t="n">
        <v>46323</v>
      </c>
      <c r="F44" s="7" t="str">
        <f aca="false">CHOOSE(WEEKDAY(E44,2),"Mo","Di","Mi","Do","Fr","Sa","So")</f>
        <v>Mi</v>
      </c>
      <c r="G44" s="7" t="s">
        <v>44</v>
      </c>
      <c r="H44" s="7" t="s">
        <v>10</v>
      </c>
      <c r="I44" s="7" t="s">
        <v>60</v>
      </c>
      <c r="J44" s="7"/>
      <c r="K44" s="7" t="s">
        <v>46</v>
      </c>
      <c r="L44" s="7" t="s">
        <v>133</v>
      </c>
      <c r="M44" s="7" t="str">
        <f aca="true">IF(H44="erledigt","",IF(E44&lt;TODAY(),"ÜBERFÄLLIG",IF(E44-TODAY()&lt;=2,"bald fällig","")))</f>
        <v/>
      </c>
    </row>
    <row r="45" customFormat="false" ht="23.85" hidden="false" customHeight="false" outlineLevel="0" collapsed="false">
      <c r="A45" s="7" t="n">
        <v>44</v>
      </c>
      <c r="B45" s="7" t="s">
        <v>19</v>
      </c>
      <c r="C45" s="7" t="s">
        <v>134</v>
      </c>
      <c r="D45" s="8" t="n">
        <v>46321</v>
      </c>
      <c r="E45" s="8" t="n">
        <v>46323</v>
      </c>
      <c r="F45" s="7" t="str">
        <f aca="false">CHOOSE(WEEKDAY(E45,2),"Mo","Di","Mi","Do","Fr","Sa","So")</f>
        <v>Mi</v>
      </c>
      <c r="G45" s="7" t="s">
        <v>131</v>
      </c>
      <c r="H45" s="7" t="s">
        <v>11</v>
      </c>
      <c r="I45" s="7" t="s">
        <v>60</v>
      </c>
      <c r="J45" s="7" t="s">
        <v>135</v>
      </c>
      <c r="K45" s="7" t="s">
        <v>46</v>
      </c>
      <c r="L45" s="7" t="s">
        <v>136</v>
      </c>
      <c r="M45" s="7" t="str">
        <f aca="true">IF(H45="erledigt","",IF(E45&lt;TODAY(),"ÜBERFÄLLIG",IF(E45-TODAY()&lt;=2,"bald fällig","")))</f>
        <v/>
      </c>
    </row>
    <row r="46" customFormat="false" ht="15" hidden="false" customHeight="false" outlineLevel="0" collapsed="false">
      <c r="A46" s="7" t="n">
        <v>45</v>
      </c>
      <c r="B46" s="7" t="s">
        <v>14</v>
      </c>
      <c r="C46" s="7" t="s">
        <v>137</v>
      </c>
      <c r="D46" s="8" t="n">
        <v>46321</v>
      </c>
      <c r="E46" s="8" t="n">
        <v>46323</v>
      </c>
      <c r="F46" s="7" t="str">
        <f aca="false">CHOOSE(WEEKDAY(E46,2),"Mo","Di","Mi","Do","Fr","Sa","So")</f>
        <v>Mi</v>
      </c>
      <c r="G46" s="7" t="s">
        <v>71</v>
      </c>
      <c r="H46" s="7" t="s">
        <v>11</v>
      </c>
      <c r="I46" s="7" t="s">
        <v>45</v>
      </c>
      <c r="J46" s="7"/>
      <c r="K46" s="7" t="s">
        <v>46</v>
      </c>
      <c r="L46" s="7" t="s">
        <v>138</v>
      </c>
      <c r="M46" s="7" t="str">
        <f aca="true">IF(H46="erledigt","",IF(E46&lt;TODAY(),"ÜBERFÄLLIG",IF(E46-TODAY()&lt;=2,"bald fällig","")))</f>
        <v/>
      </c>
    </row>
    <row r="47" customFormat="false" ht="15" hidden="false" customHeight="false" outlineLevel="0" collapsed="false">
      <c r="A47" s="7" t="n">
        <v>46</v>
      </c>
      <c r="B47" s="7" t="s">
        <v>15</v>
      </c>
      <c r="C47" s="7" t="s">
        <v>139</v>
      </c>
      <c r="D47" s="8" t="n">
        <v>46324</v>
      </c>
      <c r="E47" s="8" t="n">
        <v>46324</v>
      </c>
      <c r="F47" s="7" t="str">
        <f aca="false">CHOOSE(WEEKDAY(E47,2),"Mo","Di","Mi","Do","Fr","Sa","So")</f>
        <v>Do</v>
      </c>
      <c r="G47" s="7" t="s">
        <v>44</v>
      </c>
      <c r="H47" s="7" t="s">
        <v>11</v>
      </c>
      <c r="I47" s="7" t="s">
        <v>60</v>
      </c>
      <c r="J47" s="7" t="s">
        <v>140</v>
      </c>
      <c r="K47" s="7" t="s">
        <v>46</v>
      </c>
      <c r="L47" s="7"/>
      <c r="M47" s="7" t="str">
        <f aca="true">IF(H47="erledigt","",IF(E47&lt;TODAY(),"ÜBERFÄLLIG",IF(E47-TODAY()&lt;=2,"bald fällig","")))</f>
        <v/>
      </c>
    </row>
    <row r="48" customFormat="false" ht="15" hidden="false" customHeight="false" outlineLevel="0" collapsed="false">
      <c r="A48" s="7" t="n">
        <v>47</v>
      </c>
      <c r="B48" s="7" t="s">
        <v>15</v>
      </c>
      <c r="C48" s="7" t="s">
        <v>141</v>
      </c>
      <c r="D48" s="8" t="n">
        <v>46324</v>
      </c>
      <c r="E48" s="8" t="n">
        <v>46324</v>
      </c>
      <c r="F48" s="7" t="str">
        <f aca="false">CHOOSE(WEEKDAY(E48,2),"Mo","Di","Mi","Do","Fr","Sa","So")</f>
        <v>Do</v>
      </c>
      <c r="G48" s="7" t="s">
        <v>44</v>
      </c>
      <c r="H48" s="7" t="s">
        <v>11</v>
      </c>
      <c r="I48" s="7" t="s">
        <v>60</v>
      </c>
      <c r="J48" s="7" t="s">
        <v>142</v>
      </c>
      <c r="K48" s="7" t="s">
        <v>46</v>
      </c>
      <c r="L48" s="7" t="s">
        <v>143</v>
      </c>
      <c r="M48" s="7" t="str">
        <f aca="true">IF(H48="erledigt","",IF(E48&lt;TODAY(),"ÜBERFÄLLIG",IF(E48-TODAY()&lt;=2,"bald fällig","")))</f>
        <v/>
      </c>
    </row>
    <row r="49" customFormat="false" ht="15" hidden="false" customHeight="false" outlineLevel="0" collapsed="false">
      <c r="A49" s="7" t="n">
        <v>48</v>
      </c>
      <c r="B49" s="7" t="s">
        <v>16</v>
      </c>
      <c r="C49" s="7" t="s">
        <v>144</v>
      </c>
      <c r="D49" s="8" t="n">
        <v>46321</v>
      </c>
      <c r="E49" s="8" t="n">
        <v>46324</v>
      </c>
      <c r="F49" s="7" t="str">
        <f aca="false">CHOOSE(WEEKDAY(E49,2),"Mo","Di","Mi","Do","Fr","Sa","So")</f>
        <v>Do</v>
      </c>
      <c r="G49" s="7" t="s">
        <v>55</v>
      </c>
      <c r="H49" s="7" t="s">
        <v>11</v>
      </c>
      <c r="I49" s="7" t="s">
        <v>60</v>
      </c>
      <c r="J49" s="7" t="s">
        <v>145</v>
      </c>
      <c r="K49" s="7" t="s">
        <v>46</v>
      </c>
      <c r="L49" s="7"/>
      <c r="M49" s="7" t="str">
        <f aca="true">IF(H49="erledigt","",IF(E49&lt;TODAY(),"ÜBERFÄLLIG",IF(E49-TODAY()&lt;=2,"bald fällig","")))</f>
        <v/>
      </c>
    </row>
    <row r="50" customFormat="false" ht="15" hidden="false" customHeight="false" outlineLevel="0" collapsed="false">
      <c r="A50" s="7" t="n">
        <v>49</v>
      </c>
      <c r="B50" s="7" t="s">
        <v>16</v>
      </c>
      <c r="C50" s="7" t="s">
        <v>146</v>
      </c>
      <c r="D50" s="8" t="n">
        <v>46324</v>
      </c>
      <c r="E50" s="8" t="n">
        <v>46324</v>
      </c>
      <c r="F50" s="7" t="str">
        <f aca="false">CHOOSE(WEEKDAY(E50,2),"Mo","Di","Mi","Do","Fr","Sa","So")</f>
        <v>Do</v>
      </c>
      <c r="G50" s="7" t="s">
        <v>44</v>
      </c>
      <c r="H50" s="7" t="s">
        <v>11</v>
      </c>
      <c r="I50" s="7" t="s">
        <v>60</v>
      </c>
      <c r="J50" s="7" t="s">
        <v>147</v>
      </c>
      <c r="K50" s="7" t="s">
        <v>46</v>
      </c>
      <c r="L50" s="7"/>
      <c r="M50" s="7" t="str">
        <f aca="true">IF(H50="erledigt","",IF(E50&lt;TODAY(),"ÜBERFÄLLIG",IF(E50-TODAY()&lt;=2,"bald fällig","")))</f>
        <v/>
      </c>
    </row>
    <row r="51" customFormat="false" ht="23.85" hidden="false" customHeight="false" outlineLevel="0" collapsed="false">
      <c r="A51" s="7" t="n">
        <v>50</v>
      </c>
      <c r="B51" s="7" t="s">
        <v>17</v>
      </c>
      <c r="C51" s="7" t="s">
        <v>148</v>
      </c>
      <c r="D51" s="8" t="n">
        <v>46322</v>
      </c>
      <c r="E51" s="8" t="n">
        <v>46324</v>
      </c>
      <c r="F51" s="7" t="str">
        <f aca="false">CHOOSE(WEEKDAY(E51,2),"Mo","Di","Mi","Do","Fr","Sa","So")</f>
        <v>Do</v>
      </c>
      <c r="G51" s="7" t="s">
        <v>149</v>
      </c>
      <c r="H51" s="7" t="s">
        <v>11</v>
      </c>
      <c r="I51" s="7" t="s">
        <v>60</v>
      </c>
      <c r="J51" s="7" t="s">
        <v>150</v>
      </c>
      <c r="K51" s="7" t="s">
        <v>46</v>
      </c>
      <c r="L51" s="7"/>
      <c r="M51" s="7" t="str">
        <f aca="true">IF(H51="erledigt","",IF(E51&lt;TODAY(),"ÜBERFÄLLIG",IF(E51-TODAY()&lt;=2,"bald fällig","")))</f>
        <v/>
      </c>
    </row>
    <row r="52" customFormat="false" ht="23.85" hidden="false" customHeight="false" outlineLevel="0" collapsed="false">
      <c r="A52" s="7" t="n">
        <v>51</v>
      </c>
      <c r="B52" s="7" t="s">
        <v>17</v>
      </c>
      <c r="C52" s="7" t="s">
        <v>151</v>
      </c>
      <c r="D52" s="8" t="n">
        <v>46324</v>
      </c>
      <c r="E52" s="8" t="n">
        <v>46324</v>
      </c>
      <c r="F52" s="7" t="str">
        <f aca="false">CHOOSE(WEEKDAY(E52,2),"Mo","Di","Mi","Do","Fr","Sa","So")</f>
        <v>Do</v>
      </c>
      <c r="G52" s="7" t="s">
        <v>44</v>
      </c>
      <c r="H52" s="7" t="s">
        <v>11</v>
      </c>
      <c r="I52" s="7" t="s">
        <v>60</v>
      </c>
      <c r="J52" s="7" t="s">
        <v>147</v>
      </c>
      <c r="K52" s="7" t="s">
        <v>83</v>
      </c>
      <c r="L52" s="7"/>
      <c r="M52" s="7" t="str">
        <f aca="true">IF(H52="erledigt","",IF(E52&lt;TODAY(),"ÜBERFÄLLIG",IF(E52-TODAY()&lt;=2,"bald fällig","")))</f>
        <v/>
      </c>
    </row>
    <row r="53" customFormat="false" ht="15" hidden="false" customHeight="false" outlineLevel="0" collapsed="false">
      <c r="A53" s="7" t="n">
        <v>52</v>
      </c>
      <c r="B53" s="7" t="s">
        <v>20</v>
      </c>
      <c r="C53" s="7" t="s">
        <v>152</v>
      </c>
      <c r="D53" s="8" t="n">
        <v>46321</v>
      </c>
      <c r="E53" s="8" t="n">
        <v>46324</v>
      </c>
      <c r="F53" s="7" t="str">
        <f aca="false">CHOOSE(WEEKDAY(E53,2),"Mo","Di","Mi","Do","Fr","Sa","So")</f>
        <v>Do</v>
      </c>
      <c r="G53" s="7" t="s">
        <v>131</v>
      </c>
      <c r="H53" s="7" t="s">
        <v>11</v>
      </c>
      <c r="I53" s="7" t="s">
        <v>60</v>
      </c>
      <c r="J53" s="7"/>
      <c r="K53" s="7" t="s">
        <v>83</v>
      </c>
      <c r="L53" s="7"/>
      <c r="M53" s="7" t="str">
        <f aca="true">IF(H53="erledigt","",IF(E53&lt;TODAY(),"ÜBERFÄLLIG",IF(E53-TODAY()&lt;=2,"bald fällig","")))</f>
        <v/>
      </c>
    </row>
    <row r="54" customFormat="false" ht="15" hidden="false" customHeight="false" outlineLevel="0" collapsed="false">
      <c r="A54" s="7" t="n">
        <v>53</v>
      </c>
      <c r="B54" s="7" t="s">
        <v>14</v>
      </c>
      <c r="C54" s="7" t="s">
        <v>153</v>
      </c>
      <c r="D54" s="8" t="n">
        <v>46321</v>
      </c>
      <c r="E54" s="8" t="n">
        <v>46324</v>
      </c>
      <c r="F54" s="7" t="str">
        <f aca="false">CHOOSE(WEEKDAY(E54,2),"Mo","Di","Mi","Do","Fr","Sa","So")</f>
        <v>Do</v>
      </c>
      <c r="G54" s="7" t="s">
        <v>55</v>
      </c>
      <c r="H54" s="7" t="s">
        <v>11</v>
      </c>
      <c r="I54" s="7" t="s">
        <v>45</v>
      </c>
      <c r="J54" s="7" t="s">
        <v>154</v>
      </c>
      <c r="K54" s="7" t="s">
        <v>83</v>
      </c>
      <c r="L54" s="7"/>
      <c r="M54" s="7" t="str">
        <f aca="true">IF(H54="erledigt","",IF(E54&lt;TODAY(),"ÜBERFÄLLIG",IF(E54-TODAY()&lt;=2,"bald fällig","")))</f>
        <v/>
      </c>
    </row>
    <row r="55" customFormat="false" ht="15" hidden="false" customHeight="false" outlineLevel="0" collapsed="false">
      <c r="A55" s="7" t="n">
        <v>54</v>
      </c>
      <c r="B55" s="7" t="s">
        <v>14</v>
      </c>
      <c r="C55" s="7" t="s">
        <v>155</v>
      </c>
      <c r="D55" s="8" t="n">
        <v>46321</v>
      </c>
      <c r="E55" s="8" t="n">
        <v>46325</v>
      </c>
      <c r="F55" s="7" t="str">
        <f aca="false">CHOOSE(WEEKDAY(E55,2),"Mo","Di","Mi","Do","Fr","Sa","So")</f>
        <v>Fr</v>
      </c>
      <c r="G55" s="7" t="s">
        <v>156</v>
      </c>
      <c r="H55" s="7" t="s">
        <v>11</v>
      </c>
      <c r="I55" s="7" t="s">
        <v>60</v>
      </c>
      <c r="J55" s="7" t="s">
        <v>157</v>
      </c>
      <c r="K55" s="7" t="s">
        <v>83</v>
      </c>
      <c r="L55" s="7"/>
      <c r="M55" s="7" t="str">
        <f aca="true">IF(H55="erledigt","",IF(E55&lt;TODAY(),"ÜBERFÄLLIG",IF(E55-TODAY()&lt;=2,"bald fällig","")))</f>
        <v/>
      </c>
    </row>
    <row r="56" customFormat="false" ht="23.85" hidden="false" customHeight="false" outlineLevel="0" collapsed="false">
      <c r="A56" s="7" t="n">
        <v>55</v>
      </c>
      <c r="B56" s="7" t="s">
        <v>14</v>
      </c>
      <c r="C56" s="7" t="s">
        <v>158</v>
      </c>
      <c r="D56" s="8" t="n">
        <v>46325</v>
      </c>
      <c r="E56" s="8" t="n">
        <v>46325</v>
      </c>
      <c r="F56" s="7" t="str">
        <f aca="false">CHOOSE(WEEKDAY(E56,2),"Mo","Di","Mi","Do","Fr","Sa","So")</f>
        <v>Fr</v>
      </c>
      <c r="G56" s="7" t="s">
        <v>112</v>
      </c>
      <c r="H56" s="7" t="s">
        <v>11</v>
      </c>
      <c r="I56" s="7" t="s">
        <v>60</v>
      </c>
      <c r="J56" s="7"/>
      <c r="K56" s="7" t="s">
        <v>83</v>
      </c>
      <c r="L56" s="7" t="s">
        <v>159</v>
      </c>
      <c r="M56" s="7" t="str">
        <f aca="true">IF(H56="erledigt","",IF(E56&lt;TODAY(),"ÜBERFÄLLIG",IF(E56-TODAY()&lt;=2,"bald fällig","")))</f>
        <v/>
      </c>
    </row>
    <row r="57" customFormat="false" ht="15" hidden="false" customHeight="false" outlineLevel="0" collapsed="false">
      <c r="A57" s="7" t="n">
        <v>56</v>
      </c>
      <c r="B57" s="7" t="s">
        <v>15</v>
      </c>
      <c r="C57" s="7" t="s">
        <v>160</v>
      </c>
      <c r="D57" s="8" t="n">
        <v>46321</v>
      </c>
      <c r="E57" s="8" t="n">
        <v>46325</v>
      </c>
      <c r="F57" s="7" t="str">
        <f aca="false">CHOOSE(WEEKDAY(E57,2),"Mo","Di","Mi","Do","Fr","Sa","So")</f>
        <v>Fr</v>
      </c>
      <c r="G57" s="7" t="s">
        <v>44</v>
      </c>
      <c r="H57" s="7" t="s">
        <v>11</v>
      </c>
      <c r="I57" s="7" t="s">
        <v>60</v>
      </c>
      <c r="J57" s="7"/>
      <c r="K57" s="7" t="s">
        <v>83</v>
      </c>
      <c r="L57" s="7"/>
      <c r="M57" s="7" t="str">
        <f aca="true">IF(H57="erledigt","",IF(E57&lt;TODAY(),"ÜBERFÄLLIG",IF(E57-TODAY()&lt;=2,"bald fällig","")))</f>
        <v/>
      </c>
    </row>
    <row r="58" customFormat="false" ht="15" hidden="false" customHeight="false" outlineLevel="0" collapsed="false">
      <c r="A58" s="7" t="n">
        <v>57</v>
      </c>
      <c r="B58" s="7" t="s">
        <v>16</v>
      </c>
      <c r="C58" s="7" t="s">
        <v>161</v>
      </c>
      <c r="D58" s="8" t="n">
        <v>46325</v>
      </c>
      <c r="E58" s="8" t="n">
        <v>46325</v>
      </c>
      <c r="F58" s="7" t="str">
        <f aca="false">CHOOSE(WEEKDAY(E58,2),"Mo","Di","Mi","Do","Fr","Sa","So")</f>
        <v>Fr</v>
      </c>
      <c r="G58" s="7" t="s">
        <v>44</v>
      </c>
      <c r="H58" s="7" t="s">
        <v>11</v>
      </c>
      <c r="I58" s="7" t="s">
        <v>60</v>
      </c>
      <c r="J58" s="7" t="s">
        <v>147</v>
      </c>
      <c r="K58" s="7" t="s">
        <v>46</v>
      </c>
      <c r="L58" s="7"/>
      <c r="M58" s="7" t="str">
        <f aca="true">IF(H58="erledigt","",IF(E58&lt;TODAY(),"ÜBERFÄLLIG",IF(E58-TODAY()&lt;=2,"bald fällig","")))</f>
        <v/>
      </c>
    </row>
    <row r="59" customFormat="false" ht="23.85" hidden="false" customHeight="false" outlineLevel="0" collapsed="false">
      <c r="A59" s="7" t="n">
        <v>58</v>
      </c>
      <c r="B59" s="7" t="s">
        <v>18</v>
      </c>
      <c r="C59" s="7" t="s">
        <v>162</v>
      </c>
      <c r="D59" s="8" t="n">
        <v>46322</v>
      </c>
      <c r="E59" s="8" t="n">
        <v>46325</v>
      </c>
      <c r="F59" s="7" t="str">
        <f aca="false">CHOOSE(WEEKDAY(E59,2),"Mo","Di","Mi","Do","Fr","Sa","So")</f>
        <v>Fr</v>
      </c>
      <c r="G59" s="7" t="s">
        <v>44</v>
      </c>
      <c r="H59" s="7" t="s">
        <v>11</v>
      </c>
      <c r="I59" s="7" t="s">
        <v>60</v>
      </c>
      <c r="J59" s="7" t="s">
        <v>163</v>
      </c>
      <c r="K59" s="7" t="s">
        <v>83</v>
      </c>
      <c r="L59" s="7"/>
      <c r="M59" s="7" t="str">
        <f aca="true">IF(H59="erledigt","",IF(E59&lt;TODAY(),"ÜBERFÄLLIG",IF(E59-TODAY()&lt;=2,"bald fällig","")))</f>
        <v/>
      </c>
    </row>
    <row r="60" customFormat="false" ht="23.85" hidden="false" customHeight="false" outlineLevel="0" collapsed="false">
      <c r="A60" s="7" t="n">
        <v>59</v>
      </c>
      <c r="B60" s="7" t="s">
        <v>18</v>
      </c>
      <c r="C60" s="7" t="s">
        <v>164</v>
      </c>
      <c r="D60" s="8" t="n">
        <v>46322</v>
      </c>
      <c r="E60" s="8" t="n">
        <v>46325</v>
      </c>
      <c r="F60" s="7" t="str">
        <f aca="false">CHOOSE(WEEKDAY(E60,2),"Mo","Di","Mi","Do","Fr","Sa","So")</f>
        <v>Fr</v>
      </c>
      <c r="G60" s="7" t="s">
        <v>131</v>
      </c>
      <c r="H60" s="7" t="s">
        <v>11</v>
      </c>
      <c r="I60" s="7" t="s">
        <v>60</v>
      </c>
      <c r="J60" s="7" t="s">
        <v>165</v>
      </c>
      <c r="K60" s="7" t="s">
        <v>83</v>
      </c>
      <c r="L60" s="7"/>
      <c r="M60" s="7" t="str">
        <f aca="true">IF(H60="erledigt","",IF(E60&lt;TODAY(),"ÜBERFÄLLIG",IF(E60-TODAY()&lt;=2,"bald fällig","")))</f>
        <v/>
      </c>
    </row>
    <row r="61" customFormat="false" ht="23.85" hidden="false" customHeight="false" outlineLevel="0" collapsed="false">
      <c r="A61" s="7" t="n">
        <v>60</v>
      </c>
      <c r="B61" s="7" t="s">
        <v>17</v>
      </c>
      <c r="C61" s="7" t="s">
        <v>166</v>
      </c>
      <c r="D61" s="8" t="n">
        <v>46324</v>
      </c>
      <c r="E61" s="8" t="n">
        <v>46326</v>
      </c>
      <c r="F61" s="7" t="str">
        <f aca="false">CHOOSE(WEEKDAY(E61,2),"Mo","Di","Mi","Do","Fr","Sa","So")</f>
        <v>Sa</v>
      </c>
      <c r="G61" s="7" t="s">
        <v>44</v>
      </c>
      <c r="H61" s="7" t="s">
        <v>11</v>
      </c>
      <c r="I61" s="7" t="s">
        <v>60</v>
      </c>
      <c r="J61" s="7" t="s">
        <v>122</v>
      </c>
      <c r="K61" s="7" t="s">
        <v>83</v>
      </c>
      <c r="L61" s="7" t="s">
        <v>167</v>
      </c>
      <c r="M61" s="7" t="str">
        <f aca="true">IF(H61="erledigt","",IF(E61&lt;TODAY(),"ÜBERFÄLLIG",IF(E61-TODAY()&lt;=2,"bald fällig","")))</f>
        <v/>
      </c>
    </row>
    <row r="62" customFormat="false" ht="15" hidden="false" customHeight="false" outlineLevel="0" collapsed="false">
      <c r="A62" s="7" t="n">
        <v>61</v>
      </c>
      <c r="B62" s="7" t="s">
        <v>18</v>
      </c>
      <c r="C62" s="7" t="s">
        <v>168</v>
      </c>
      <c r="D62" s="8" t="n">
        <v>46323</v>
      </c>
      <c r="E62" s="8" t="n">
        <v>46326</v>
      </c>
      <c r="F62" s="7" t="str">
        <f aca="false">CHOOSE(WEEKDAY(E62,2),"Mo","Di","Mi","Do","Fr","Sa","So")</f>
        <v>Sa</v>
      </c>
      <c r="G62" s="7" t="s">
        <v>156</v>
      </c>
      <c r="H62" s="7" t="s">
        <v>11</v>
      </c>
      <c r="I62" s="7" t="s">
        <v>60</v>
      </c>
      <c r="J62" s="7" t="s">
        <v>126</v>
      </c>
      <c r="K62" s="7" t="s">
        <v>83</v>
      </c>
      <c r="L62" s="7"/>
      <c r="M62" s="7" t="str">
        <f aca="true">IF(H62="erledigt","",IF(E62&lt;TODAY(),"ÜBERFÄLLIG",IF(E62-TODAY()&lt;=2,"bald fällig","")))</f>
        <v/>
      </c>
    </row>
    <row r="63" customFormat="false" ht="15" hidden="false" customHeight="false" outlineLevel="0" collapsed="false">
      <c r="A63" s="7" t="n">
        <v>62</v>
      </c>
      <c r="B63" s="7" t="s">
        <v>17</v>
      </c>
      <c r="C63" s="7" t="s">
        <v>169</v>
      </c>
      <c r="D63" s="8" t="n">
        <v>46324</v>
      </c>
      <c r="E63" s="8" t="n">
        <v>46326</v>
      </c>
      <c r="F63" s="7" t="str">
        <f aca="false">CHOOSE(WEEKDAY(E63,2),"Mo","Di","Mi","Do","Fr","Sa","So")</f>
        <v>Sa</v>
      </c>
      <c r="G63" s="7" t="s">
        <v>68</v>
      </c>
      <c r="H63" s="7" t="s">
        <v>11</v>
      </c>
      <c r="I63" s="7" t="s">
        <v>45</v>
      </c>
      <c r="J63" s="7"/>
      <c r="K63" s="7" t="s">
        <v>83</v>
      </c>
      <c r="L63" s="7"/>
      <c r="M63" s="7" t="str">
        <f aca="true">IF(H63="erledigt","",IF(E63&lt;TODAY(),"ÜBERFÄLLIG",IF(E63-TODAY()&lt;=2,"bald fällig","")))</f>
        <v/>
      </c>
    </row>
    <row r="64" customFormat="false" ht="23.85" hidden="false" customHeight="false" outlineLevel="0" collapsed="false">
      <c r="A64" s="7" t="n">
        <v>63</v>
      </c>
      <c r="B64" s="7" t="s">
        <v>17</v>
      </c>
      <c r="C64" s="7" t="s">
        <v>170</v>
      </c>
      <c r="D64" s="8" t="n">
        <v>46324</v>
      </c>
      <c r="E64" s="8" t="n">
        <v>46326</v>
      </c>
      <c r="F64" s="7" t="str">
        <f aca="false">CHOOSE(WEEKDAY(E64,2),"Mo","Di","Mi","Do","Fr","Sa","So")</f>
        <v>Sa</v>
      </c>
      <c r="G64" s="7" t="s">
        <v>44</v>
      </c>
      <c r="H64" s="7" t="s">
        <v>11</v>
      </c>
      <c r="I64" s="7" t="s">
        <v>45</v>
      </c>
      <c r="J64" s="7"/>
      <c r="K64" s="7" t="s">
        <v>83</v>
      </c>
      <c r="L64" s="7"/>
      <c r="M64" s="7" t="str">
        <f aca="true">IF(H64="erledigt","",IF(E64&lt;TODAY(),"ÜBERFÄLLIG",IF(E64-TODAY()&lt;=2,"bald fällig","")))</f>
        <v/>
      </c>
    </row>
    <row r="65" customFormat="false" ht="15" hidden="false" customHeight="false" outlineLevel="0" collapsed="false">
      <c r="A65" s="7" t="n">
        <v>64</v>
      </c>
      <c r="B65" s="7" t="s">
        <v>21</v>
      </c>
      <c r="C65" s="7" t="s">
        <v>171</v>
      </c>
      <c r="D65" s="8" t="n">
        <v>46323</v>
      </c>
      <c r="E65" s="8" t="n">
        <v>46327</v>
      </c>
      <c r="F65" s="7" t="str">
        <f aca="false">CHOOSE(WEEKDAY(E65,2),"Mo","Di","Mi","Do","Fr","Sa","So")</f>
        <v>So</v>
      </c>
      <c r="G65" s="7" t="s">
        <v>44</v>
      </c>
      <c r="H65" s="7" t="s">
        <v>11</v>
      </c>
      <c r="I65" s="7" t="s">
        <v>60</v>
      </c>
      <c r="J65" s="7"/>
      <c r="K65" s="7" t="s">
        <v>46</v>
      </c>
      <c r="L65" s="7"/>
      <c r="M65" s="7" t="str">
        <f aca="true">IF(H65="erledigt","",IF(E65&lt;TODAY(),"ÜBERFÄLLIG",IF(E65-TODAY()&lt;=2,"bald fällig","")))</f>
        <v/>
      </c>
    </row>
    <row r="66" customFormat="false" ht="23.85" hidden="false" customHeight="false" outlineLevel="0" collapsed="false">
      <c r="A66" s="7" t="n">
        <v>65</v>
      </c>
      <c r="B66" s="7" t="s">
        <v>13</v>
      </c>
      <c r="C66" s="7" t="s">
        <v>172</v>
      </c>
      <c r="D66" s="8" t="n">
        <v>46327</v>
      </c>
      <c r="E66" s="8" t="n">
        <v>46327</v>
      </c>
      <c r="F66" s="7" t="str">
        <f aca="false">CHOOSE(WEEKDAY(E66,2),"Mo","Di","Mi","Do","Fr","Sa","So")</f>
        <v>So</v>
      </c>
      <c r="G66" s="7" t="s">
        <v>44</v>
      </c>
      <c r="H66" s="7" t="s">
        <v>11</v>
      </c>
      <c r="I66" s="7" t="s">
        <v>45</v>
      </c>
      <c r="J66" s="7"/>
      <c r="K66" s="7" t="s">
        <v>83</v>
      </c>
      <c r="L66" s="7" t="s">
        <v>173</v>
      </c>
      <c r="M66" s="7" t="str">
        <f aca="true">IF(H66="erledigt","",IF(E66&lt;TODAY(),"ÜBERFÄLLIG",IF(E66-TODAY()&lt;=2,"bald fällig","")))</f>
        <v/>
      </c>
    </row>
    <row r="67" customFormat="false" ht="15" hidden="false" customHeight="false" outlineLevel="0" collapsed="false">
      <c r="A67" s="7" t="n">
        <v>66</v>
      </c>
      <c r="B67" s="7" t="s">
        <v>14</v>
      </c>
      <c r="C67" s="7" t="s">
        <v>174</v>
      </c>
      <c r="D67" s="8" t="n">
        <v>46321</v>
      </c>
      <c r="E67" s="8" t="n">
        <v>46327</v>
      </c>
      <c r="F67" s="7" t="str">
        <f aca="false">CHOOSE(WEEKDAY(E67,2),"Mo","Di","Mi","Do","Fr","Sa","So")</f>
        <v>So</v>
      </c>
      <c r="G67" s="7" t="s">
        <v>44</v>
      </c>
      <c r="H67" s="7" t="s">
        <v>11</v>
      </c>
      <c r="I67" s="7" t="s">
        <v>45</v>
      </c>
      <c r="J67" s="7" t="s">
        <v>175</v>
      </c>
      <c r="K67" s="7" t="s">
        <v>46</v>
      </c>
      <c r="L67" s="7" t="s">
        <v>176</v>
      </c>
      <c r="M67" s="7" t="str">
        <f aca="true">IF(H67="erledigt","",IF(E67&lt;TODAY(),"ÜBERFÄLLIG",IF(E67-TODAY()&lt;=2,"bald fällig","")))</f>
        <v/>
      </c>
    </row>
    <row r="68" customFormat="false" ht="15" hidden="false" customHeight="false" outlineLevel="0" collapsed="false">
      <c r="A68" s="7" t="n">
        <v>67</v>
      </c>
      <c r="B68" s="7" t="s">
        <v>16</v>
      </c>
      <c r="C68" s="7" t="s">
        <v>177</v>
      </c>
      <c r="D68" s="8" t="n">
        <v>46324</v>
      </c>
      <c r="E68" s="8" t="n">
        <v>46327</v>
      </c>
      <c r="F68" s="7" t="str">
        <f aca="false">CHOOSE(WEEKDAY(E68,2),"Mo","Di","Mi","Do","Fr","Sa","So")</f>
        <v>So</v>
      </c>
      <c r="G68" s="7" t="s">
        <v>44</v>
      </c>
      <c r="H68" s="7" t="s">
        <v>11</v>
      </c>
      <c r="I68" s="7" t="s">
        <v>45</v>
      </c>
      <c r="J68" s="7" t="s">
        <v>178</v>
      </c>
      <c r="K68" s="7" t="s">
        <v>83</v>
      </c>
      <c r="L68" s="7"/>
      <c r="M68" s="7" t="str">
        <f aca="true">IF(H68="erledigt","",IF(E68&lt;TODAY(),"ÜBERFÄLLIG",IF(E68-TODAY()&lt;=2,"bald fällig","")))</f>
        <v/>
      </c>
    </row>
    <row r="69" customFormat="false" ht="23.85" hidden="false" customHeight="false" outlineLevel="0" collapsed="false">
      <c r="A69" s="7" t="n">
        <v>68</v>
      </c>
      <c r="B69" s="7" t="s">
        <v>14</v>
      </c>
      <c r="C69" s="7" t="s">
        <v>179</v>
      </c>
      <c r="D69" s="8" t="n">
        <v>46328</v>
      </c>
      <c r="E69" s="8" t="n">
        <v>46328</v>
      </c>
      <c r="F69" s="7" t="str">
        <f aca="false">CHOOSE(WEEKDAY(E69,2),"Mo","Di","Mi","Do","Fr","Sa","So")</f>
        <v>Mo</v>
      </c>
      <c r="G69" s="7" t="s">
        <v>112</v>
      </c>
      <c r="H69" s="7" t="s">
        <v>11</v>
      </c>
      <c r="I69" s="7" t="s">
        <v>60</v>
      </c>
      <c r="J69" s="7"/>
      <c r="K69" s="7" t="s">
        <v>83</v>
      </c>
      <c r="L69" s="7" t="s">
        <v>159</v>
      </c>
      <c r="M69" s="7" t="str">
        <f aca="true">IF(H69="erledigt","",IF(E69&lt;TODAY(),"ÜBERFÄLLIG",IF(E69-TODAY()&lt;=2,"bald fällig","")))</f>
        <v/>
      </c>
    </row>
    <row r="70" customFormat="false" ht="15" hidden="false" customHeight="false" outlineLevel="0" collapsed="false">
      <c r="A70" s="7" t="n">
        <v>69</v>
      </c>
      <c r="B70" s="7" t="s">
        <v>20</v>
      </c>
      <c r="C70" s="7" t="s">
        <v>180</v>
      </c>
      <c r="D70" s="8" t="n">
        <v>46328</v>
      </c>
      <c r="E70" s="8" t="n">
        <v>46328</v>
      </c>
      <c r="F70" s="7" t="str">
        <f aca="false">CHOOSE(WEEKDAY(E70,2),"Mo","Di","Mi","Do","Fr","Sa","So")</f>
        <v>Mo</v>
      </c>
      <c r="G70" s="7" t="s">
        <v>44</v>
      </c>
      <c r="H70" s="7" t="s">
        <v>11</v>
      </c>
      <c r="I70" s="7" t="s">
        <v>60</v>
      </c>
      <c r="J70" s="7"/>
      <c r="K70" s="7" t="s">
        <v>83</v>
      </c>
      <c r="L70" s="7"/>
      <c r="M70" s="7" t="str">
        <f aca="true">IF(H70="erledigt","",IF(E70&lt;TODAY(),"ÜBERFÄLLIG",IF(E70-TODAY()&lt;=2,"bald fällig","")))</f>
        <v/>
      </c>
    </row>
    <row r="71" customFormat="false" ht="57.45" hidden="false" customHeight="false" outlineLevel="0" collapsed="false">
      <c r="A71" s="7" t="n">
        <v>70</v>
      </c>
      <c r="B71" s="7" t="s">
        <v>19</v>
      </c>
      <c r="C71" s="7" t="s">
        <v>181</v>
      </c>
      <c r="D71" s="8" t="n">
        <v>46327</v>
      </c>
      <c r="E71" s="8" t="n">
        <v>46329</v>
      </c>
      <c r="F71" s="7" t="str">
        <f aca="false">CHOOSE(WEEKDAY(E71,2),"Mo","Di","Mi","Do","Fr","Sa","So")</f>
        <v>Di</v>
      </c>
      <c r="G71" s="7" t="s">
        <v>97</v>
      </c>
      <c r="H71" s="7" t="s">
        <v>182</v>
      </c>
      <c r="I71" s="7" t="s">
        <v>60</v>
      </c>
      <c r="J71" s="7" t="s">
        <v>183</v>
      </c>
      <c r="K71" s="7" t="s">
        <v>46</v>
      </c>
      <c r="L71" s="7" t="s">
        <v>184</v>
      </c>
      <c r="M71" s="7" t="str">
        <f aca="true">IF(H71="erledigt","",IF(E71&lt;TODAY(),"ÜBERFÄLLIG",IF(E71-TODAY()&lt;=2,"bald fällig","")))</f>
        <v/>
      </c>
    </row>
    <row r="72" customFormat="false" ht="23.85" hidden="false" customHeight="false" outlineLevel="0" collapsed="false">
      <c r="A72" s="7" t="n">
        <v>71</v>
      </c>
      <c r="B72" s="7" t="s">
        <v>14</v>
      </c>
      <c r="C72" s="7" t="s">
        <v>185</v>
      </c>
      <c r="D72" s="8" t="n">
        <v>46330</v>
      </c>
      <c r="E72" s="8" t="n">
        <v>46330</v>
      </c>
      <c r="F72" s="7" t="str">
        <f aca="false">CHOOSE(WEEKDAY(E72,2),"Mo","Di","Mi","Do","Fr","Sa","So")</f>
        <v>Mi</v>
      </c>
      <c r="G72" s="7" t="s">
        <v>112</v>
      </c>
      <c r="H72" s="7" t="s">
        <v>11</v>
      </c>
      <c r="I72" s="7" t="s">
        <v>60</v>
      </c>
      <c r="J72" s="7"/>
      <c r="K72" s="7" t="s">
        <v>83</v>
      </c>
      <c r="L72" s="7" t="s">
        <v>159</v>
      </c>
      <c r="M72" s="7" t="str">
        <f aca="true">IF(H72="erledigt","",IF(E72&lt;TODAY(),"ÜBERFÄLLIG",IF(E72-TODAY()&lt;=2,"bald fällig","")))</f>
        <v/>
      </c>
    </row>
    <row r="73" customFormat="false" ht="15" hidden="false" customHeight="false" outlineLevel="0" collapsed="false">
      <c r="A73" s="7" t="n">
        <v>72</v>
      </c>
      <c r="B73" s="7" t="s">
        <v>21</v>
      </c>
      <c r="C73" s="7" t="s">
        <v>186</v>
      </c>
      <c r="D73" s="8" t="n">
        <v>46328</v>
      </c>
      <c r="E73" s="8" t="n">
        <v>46331</v>
      </c>
      <c r="F73" s="7" t="str">
        <f aca="false">CHOOSE(WEEKDAY(E73,2),"Mo","Di","Mi","Do","Fr","Sa","So")</f>
        <v>Do</v>
      </c>
      <c r="G73" s="7" t="s">
        <v>55</v>
      </c>
      <c r="H73" s="7" t="s">
        <v>11</v>
      </c>
      <c r="I73" s="7" t="s">
        <v>60</v>
      </c>
      <c r="J73" s="7" t="s">
        <v>187</v>
      </c>
      <c r="K73" s="7" t="s">
        <v>83</v>
      </c>
      <c r="L73" s="7"/>
      <c r="M73" s="7" t="str">
        <f aca="true">IF(H73="erledigt","",IF(E73&lt;TODAY(),"ÜBERFÄLLIG",IF(E73-TODAY()&lt;=2,"bald fällig","")))</f>
        <v/>
      </c>
    </row>
    <row r="74" customFormat="false" ht="23.85" hidden="false" customHeight="false" outlineLevel="0" collapsed="false">
      <c r="A74" s="7" t="n">
        <v>73</v>
      </c>
      <c r="B74" s="7" t="s">
        <v>15</v>
      </c>
      <c r="C74" s="7" t="s">
        <v>188</v>
      </c>
      <c r="D74" s="8" t="n">
        <v>46328</v>
      </c>
      <c r="E74" s="8" t="n">
        <v>46331</v>
      </c>
      <c r="F74" s="7" t="str">
        <f aca="false">CHOOSE(WEEKDAY(E74,2),"Mo","Di","Mi","Do","Fr","Sa","So")</f>
        <v>Do</v>
      </c>
      <c r="G74" s="7" t="s">
        <v>44</v>
      </c>
      <c r="H74" s="7" t="s">
        <v>11</v>
      </c>
      <c r="I74" s="7" t="s">
        <v>45</v>
      </c>
      <c r="J74" s="7"/>
      <c r="K74" s="7" t="s">
        <v>46</v>
      </c>
      <c r="L74" s="7"/>
      <c r="M74" s="7" t="str">
        <f aca="true">IF(H74="erledigt","",IF(E74&lt;TODAY(),"ÜBERFÄLLIG",IF(E74-TODAY()&lt;=2,"bald fällig","")))</f>
        <v/>
      </c>
    </row>
    <row r="75" customFormat="false" ht="23.85" hidden="false" customHeight="false" outlineLevel="0" collapsed="false">
      <c r="A75" s="7" t="n">
        <v>74</v>
      </c>
      <c r="B75" s="7" t="s">
        <v>19</v>
      </c>
      <c r="C75" s="7" t="s">
        <v>189</v>
      </c>
      <c r="D75" s="8" t="n">
        <v>46328</v>
      </c>
      <c r="E75" s="8" t="n">
        <v>46331</v>
      </c>
      <c r="F75" s="7" t="str">
        <f aca="false">CHOOSE(WEEKDAY(E75,2),"Mo","Di","Mi","Do","Fr","Sa","So")</f>
        <v>Do</v>
      </c>
      <c r="G75" s="7" t="s">
        <v>44</v>
      </c>
      <c r="H75" s="7" t="s">
        <v>11</v>
      </c>
      <c r="I75" s="7" t="s">
        <v>45</v>
      </c>
      <c r="J75" s="7" t="s">
        <v>190</v>
      </c>
      <c r="K75" s="7" t="s">
        <v>46</v>
      </c>
      <c r="L75" s="7"/>
      <c r="M75" s="7" t="str">
        <f aca="true">IF(H75="erledigt","",IF(E75&lt;TODAY(),"ÜBERFÄLLIG",IF(E75-TODAY()&lt;=2,"bald fällig","")))</f>
        <v/>
      </c>
    </row>
    <row r="76" customFormat="false" ht="23.85" hidden="false" customHeight="false" outlineLevel="0" collapsed="false">
      <c r="A76" s="7" t="n">
        <v>75</v>
      </c>
      <c r="B76" s="7" t="s">
        <v>14</v>
      </c>
      <c r="C76" s="7" t="s">
        <v>191</v>
      </c>
      <c r="D76" s="8" t="n">
        <v>46332</v>
      </c>
      <c r="E76" s="8" t="n">
        <v>46332</v>
      </c>
      <c r="F76" s="7" t="str">
        <f aca="false">CHOOSE(WEEKDAY(E76,2),"Mo","Di","Mi","Do","Fr","Sa","So")</f>
        <v>Fr</v>
      </c>
      <c r="G76" s="7" t="s">
        <v>112</v>
      </c>
      <c r="H76" s="7" t="s">
        <v>11</v>
      </c>
      <c r="I76" s="7" t="s">
        <v>60</v>
      </c>
      <c r="J76" s="7" t="s">
        <v>192</v>
      </c>
      <c r="K76" s="7" t="s">
        <v>83</v>
      </c>
      <c r="L76" s="7" t="s">
        <v>159</v>
      </c>
      <c r="M76" s="7" t="str">
        <f aca="true">IF(H76="erledigt","",IF(E76&lt;TODAY(),"ÜBERFÄLLIG",IF(E76-TODAY()&lt;=2,"bald fällig","")))</f>
        <v/>
      </c>
    </row>
    <row r="77" customFormat="false" ht="15" hidden="false" customHeight="false" outlineLevel="0" collapsed="false">
      <c r="A77" s="7" t="n">
        <v>76</v>
      </c>
      <c r="B77" s="7" t="s">
        <v>15</v>
      </c>
      <c r="C77" s="7" t="s">
        <v>193</v>
      </c>
      <c r="D77" s="8" t="n">
        <v>46329</v>
      </c>
      <c r="E77" s="8" t="n">
        <v>46332</v>
      </c>
      <c r="F77" s="7" t="str">
        <f aca="false">CHOOSE(WEEKDAY(E77,2),"Mo","Di","Mi","Do","Fr","Sa","So")</f>
        <v>Fr</v>
      </c>
      <c r="G77" s="7" t="s">
        <v>44</v>
      </c>
      <c r="H77" s="7" t="s">
        <v>11</v>
      </c>
      <c r="I77" s="7" t="s">
        <v>45</v>
      </c>
      <c r="J77" s="7"/>
      <c r="K77" s="7" t="s">
        <v>83</v>
      </c>
      <c r="L77" s="7"/>
      <c r="M77" s="7" t="str">
        <f aca="true">IF(H77="erledigt","",IF(E77&lt;TODAY(),"ÜBERFÄLLIG",IF(E77-TODAY()&lt;=2,"bald fällig","")))</f>
        <v/>
      </c>
    </row>
    <row r="78" customFormat="false" ht="15" hidden="false" customHeight="false" outlineLevel="0" collapsed="false">
      <c r="A78" s="7" t="n">
        <v>77</v>
      </c>
      <c r="B78" s="7" t="s">
        <v>17</v>
      </c>
      <c r="C78" s="7" t="s">
        <v>194</v>
      </c>
      <c r="D78" s="8" t="n">
        <v>46323</v>
      </c>
      <c r="E78" s="8" t="n">
        <v>46332</v>
      </c>
      <c r="F78" s="7" t="str">
        <f aca="false">CHOOSE(WEEKDAY(E78,2),"Mo","Di","Mi","Do","Fr","Sa","So")</f>
        <v>Fr</v>
      </c>
      <c r="G78" s="7" t="s">
        <v>44</v>
      </c>
      <c r="H78" s="7" t="s">
        <v>11</v>
      </c>
      <c r="I78" s="7" t="s">
        <v>45</v>
      </c>
      <c r="J78" s="7"/>
      <c r="K78" s="7" t="s">
        <v>83</v>
      </c>
      <c r="L78" s="7"/>
      <c r="M78" s="7" t="str">
        <f aca="true">IF(H78="erledigt","",IF(E78&lt;TODAY(),"ÜBERFÄLLIG",IF(E78-TODAY()&lt;=2,"bald fällig","")))</f>
        <v/>
      </c>
    </row>
    <row r="79" customFormat="false" ht="23.85" hidden="false" customHeight="false" outlineLevel="0" collapsed="false">
      <c r="A79" s="7" t="n">
        <v>78</v>
      </c>
      <c r="B79" s="7" t="s">
        <v>20</v>
      </c>
      <c r="C79" s="7" t="s">
        <v>195</v>
      </c>
      <c r="D79" s="8" t="n">
        <v>46329</v>
      </c>
      <c r="E79" s="8" t="n">
        <v>46332</v>
      </c>
      <c r="F79" s="7" t="str">
        <f aca="false">CHOOSE(WEEKDAY(E79,2),"Mo","Di","Mi","Do","Fr","Sa","So")</f>
        <v>Fr</v>
      </c>
      <c r="G79" s="7" t="s">
        <v>44</v>
      </c>
      <c r="H79" s="7" t="s">
        <v>11</v>
      </c>
      <c r="I79" s="7" t="s">
        <v>45</v>
      </c>
      <c r="J79" s="7"/>
      <c r="K79" s="7" t="s">
        <v>83</v>
      </c>
      <c r="L79" s="7"/>
      <c r="M79" s="7" t="str">
        <f aca="true">IF(H79="erledigt","",IF(E79&lt;TODAY(),"ÜBERFÄLLIG",IF(E79-TODAY()&lt;=2,"bald fällig","")))</f>
        <v/>
      </c>
    </row>
    <row r="80" customFormat="false" ht="23.85" hidden="false" customHeight="false" outlineLevel="0" collapsed="false">
      <c r="A80" s="7" t="n">
        <v>79</v>
      </c>
      <c r="B80" s="7" t="s">
        <v>17</v>
      </c>
      <c r="C80" s="7" t="s">
        <v>196</v>
      </c>
      <c r="D80" s="8" t="n">
        <v>46328</v>
      </c>
      <c r="E80" s="8" t="n">
        <v>46332</v>
      </c>
      <c r="F80" s="7" t="str">
        <f aca="false">CHOOSE(WEEKDAY(E80,2),"Mo","Di","Mi","Do","Fr","Sa","So")</f>
        <v>Fr</v>
      </c>
      <c r="G80" s="7" t="s">
        <v>44</v>
      </c>
      <c r="H80" s="7" t="s">
        <v>11</v>
      </c>
      <c r="I80" s="7" t="s">
        <v>197</v>
      </c>
      <c r="J80" s="7"/>
      <c r="K80" s="7" t="s">
        <v>83</v>
      </c>
      <c r="L80" s="7" t="s">
        <v>198</v>
      </c>
      <c r="M80" s="7" t="str">
        <f aca="true">IF(H80="erledigt","",IF(E80&lt;TODAY(),"ÜBERFÄLLIG",IF(E80-TODAY()&lt;=2,"bald fällig","")))</f>
        <v/>
      </c>
    </row>
    <row r="81" customFormat="false" ht="15" hidden="false" customHeight="false" outlineLevel="0" collapsed="false">
      <c r="A81" s="7" t="n">
        <v>80</v>
      </c>
      <c r="B81" s="7" t="s">
        <v>14</v>
      </c>
      <c r="C81" s="7" t="s">
        <v>199</v>
      </c>
      <c r="D81" s="8" t="n">
        <v>46324</v>
      </c>
      <c r="E81" s="8" t="n">
        <v>46334</v>
      </c>
      <c r="F81" s="7" t="str">
        <f aca="false">CHOOSE(WEEKDAY(E81,2),"Mo","Di","Mi","Do","Fr","Sa","So")</f>
        <v>So</v>
      </c>
      <c r="G81" s="7" t="s">
        <v>149</v>
      </c>
      <c r="H81" s="7" t="s">
        <v>11</v>
      </c>
      <c r="I81" s="7" t="s">
        <v>60</v>
      </c>
      <c r="J81" s="7" t="s">
        <v>200</v>
      </c>
      <c r="K81" s="7" t="s">
        <v>46</v>
      </c>
      <c r="L81" s="7" t="s">
        <v>201</v>
      </c>
      <c r="M81" s="7" t="str">
        <f aca="true">IF(H81="erledigt","",IF(E81&lt;TODAY(),"ÜBERFÄLLIG",IF(E81-TODAY()&lt;=2,"bald fällig","")))</f>
        <v/>
      </c>
    </row>
    <row r="82" customFormat="false" ht="23.85" hidden="false" customHeight="false" outlineLevel="0" collapsed="false">
      <c r="A82" s="7" t="n">
        <v>81</v>
      </c>
      <c r="B82" s="7" t="s">
        <v>15</v>
      </c>
      <c r="C82" s="7" t="s">
        <v>202</v>
      </c>
      <c r="D82" s="8" t="n">
        <v>46325</v>
      </c>
      <c r="E82" s="8" t="n">
        <v>46334</v>
      </c>
      <c r="F82" s="7" t="str">
        <f aca="false">CHOOSE(WEEKDAY(E82,2),"Mo","Di","Mi","Do","Fr","Sa","So")</f>
        <v>So</v>
      </c>
      <c r="G82" s="7" t="s">
        <v>203</v>
      </c>
      <c r="H82" s="7" t="s">
        <v>11</v>
      </c>
      <c r="I82" s="7" t="s">
        <v>60</v>
      </c>
      <c r="J82" s="7" t="s">
        <v>204</v>
      </c>
      <c r="K82" s="7" t="s">
        <v>83</v>
      </c>
      <c r="L82" s="7"/>
      <c r="M82" s="7" t="str">
        <f aca="true">IF(H82="erledigt","",IF(E82&lt;TODAY(),"ÜBERFÄLLIG",IF(E82-TODAY()&lt;=2,"bald fällig","")))</f>
        <v/>
      </c>
    </row>
    <row r="83" customFormat="false" ht="23.85" hidden="false" customHeight="false" outlineLevel="0" collapsed="false">
      <c r="A83" s="7" t="n">
        <v>82</v>
      </c>
      <c r="B83" s="7" t="s">
        <v>13</v>
      </c>
      <c r="C83" s="7" t="s">
        <v>172</v>
      </c>
      <c r="D83" s="8" t="n">
        <v>46334</v>
      </c>
      <c r="E83" s="8" t="n">
        <v>46334</v>
      </c>
      <c r="F83" s="7" t="str">
        <f aca="false">CHOOSE(WEEKDAY(E83,2),"Mo","Di","Mi","Do","Fr","Sa","So")</f>
        <v>So</v>
      </c>
      <c r="G83" s="7" t="s">
        <v>44</v>
      </c>
      <c r="H83" s="7" t="s">
        <v>11</v>
      </c>
      <c r="I83" s="7" t="s">
        <v>45</v>
      </c>
      <c r="J83" s="7"/>
      <c r="K83" s="7" t="s">
        <v>83</v>
      </c>
      <c r="L83" s="7" t="s">
        <v>173</v>
      </c>
      <c r="M83" s="7" t="str">
        <f aca="true">IF(H83="erledigt","",IF(E83&lt;TODAY(),"ÜBERFÄLLIG",IF(E83-TODAY()&lt;=2,"bald fällig","")))</f>
        <v/>
      </c>
    </row>
    <row r="84" customFormat="false" ht="15" hidden="false" customHeight="false" outlineLevel="0" collapsed="false">
      <c r="A84" s="7" t="n">
        <v>83</v>
      </c>
      <c r="B84" s="7" t="s">
        <v>18</v>
      </c>
      <c r="C84" s="7" t="s">
        <v>205</v>
      </c>
      <c r="D84" s="8" t="n">
        <v>46334</v>
      </c>
      <c r="E84" s="8" t="n">
        <v>46334</v>
      </c>
      <c r="F84" s="7" t="str">
        <f aca="false">CHOOSE(WEEKDAY(E84,2),"Mo","Di","Mi","Do","Fr","Sa","So")</f>
        <v>So</v>
      </c>
      <c r="G84" s="7" t="s">
        <v>97</v>
      </c>
      <c r="H84" s="7" t="s">
        <v>11</v>
      </c>
      <c r="I84" s="7" t="s">
        <v>45</v>
      </c>
      <c r="J84" s="7" t="s">
        <v>206</v>
      </c>
      <c r="K84" s="7" t="s">
        <v>83</v>
      </c>
      <c r="L84" s="7"/>
      <c r="M84" s="7" t="str">
        <f aca="true">IF(H84="erledigt","",IF(E84&lt;TODAY(),"ÜBERFÄLLIG",IF(E84-TODAY()&lt;=2,"bald fällig","")))</f>
        <v/>
      </c>
    </row>
    <row r="85" customFormat="false" ht="23.85" hidden="false" customHeight="false" outlineLevel="0" collapsed="false">
      <c r="A85" s="7" t="n">
        <v>84</v>
      </c>
      <c r="B85" s="7" t="s">
        <v>19</v>
      </c>
      <c r="C85" s="7" t="s">
        <v>207</v>
      </c>
      <c r="D85" s="8" t="n">
        <v>46327</v>
      </c>
      <c r="E85" s="8" t="n">
        <v>46334</v>
      </c>
      <c r="F85" s="7" t="str">
        <f aca="false">CHOOSE(WEEKDAY(E85,2),"Mo","Di","Mi","Do","Fr","Sa","So")</f>
        <v>So</v>
      </c>
      <c r="G85" s="7" t="s">
        <v>71</v>
      </c>
      <c r="H85" s="7" t="s">
        <v>10</v>
      </c>
      <c r="I85" s="7" t="s">
        <v>45</v>
      </c>
      <c r="J85" s="7"/>
      <c r="K85" s="7" t="s">
        <v>46</v>
      </c>
      <c r="L85" s="7" t="s">
        <v>208</v>
      </c>
      <c r="M85" s="7" t="str">
        <f aca="true">IF(H85="erledigt","",IF(E85&lt;TODAY(),"ÜBERFÄLLIG",IF(E85-TODAY()&lt;=2,"bald fällig","")))</f>
        <v/>
      </c>
    </row>
    <row r="86" customFormat="false" ht="23.85" hidden="false" customHeight="false" outlineLevel="0" collapsed="false">
      <c r="A86" s="7" t="n">
        <v>85</v>
      </c>
      <c r="B86" s="7" t="s">
        <v>21</v>
      </c>
      <c r="C86" s="7" t="s">
        <v>209</v>
      </c>
      <c r="D86" s="8" t="n">
        <v>46329</v>
      </c>
      <c r="E86" s="8" t="n">
        <v>46334</v>
      </c>
      <c r="F86" s="7" t="str">
        <f aca="false">CHOOSE(WEEKDAY(E86,2),"Mo","Di","Mi","Do","Fr","Sa","So")</f>
        <v>So</v>
      </c>
      <c r="G86" s="7" t="s">
        <v>210</v>
      </c>
      <c r="H86" s="7" t="s">
        <v>11</v>
      </c>
      <c r="I86" s="7" t="s">
        <v>45</v>
      </c>
      <c r="J86" s="7"/>
      <c r="K86" s="7" t="s">
        <v>83</v>
      </c>
      <c r="L86" s="7"/>
      <c r="M86" s="7" t="str">
        <f aca="true">IF(H86="erledigt","",IF(E86&lt;TODAY(),"ÜBERFÄLLIG",IF(E86-TODAY()&lt;=2,"bald fällig","")))</f>
        <v/>
      </c>
    </row>
    <row r="87" customFormat="false" ht="15" hidden="false" customHeight="false" outlineLevel="0" collapsed="false">
      <c r="A87" s="7" t="n">
        <v>86</v>
      </c>
      <c r="B87" s="7" t="s">
        <v>14</v>
      </c>
      <c r="C87" s="7" t="s">
        <v>211</v>
      </c>
      <c r="D87" s="8" t="n">
        <v>46328</v>
      </c>
      <c r="E87" s="8" t="n">
        <v>46335</v>
      </c>
      <c r="F87" s="7" t="str">
        <f aca="false">CHOOSE(WEEKDAY(E87,2),"Mo","Di","Mi","Do","Fr","Sa","So")</f>
        <v>Mo</v>
      </c>
      <c r="G87" s="7" t="s">
        <v>44</v>
      </c>
      <c r="H87" s="7" t="s">
        <v>11</v>
      </c>
      <c r="I87" s="7" t="s">
        <v>60</v>
      </c>
      <c r="J87" s="7" t="s">
        <v>212</v>
      </c>
      <c r="K87" s="7" t="s">
        <v>46</v>
      </c>
      <c r="L87" s="7"/>
      <c r="M87" s="7" t="str">
        <f aca="true">IF(H87="erledigt","",IF(E87&lt;TODAY(),"ÜBERFÄLLIG",IF(E87-TODAY()&lt;=2,"bald fällig","")))</f>
        <v/>
      </c>
    </row>
    <row r="88" customFormat="false" ht="23.85" hidden="false" customHeight="false" outlineLevel="0" collapsed="false">
      <c r="A88" s="7" t="n">
        <v>87</v>
      </c>
      <c r="B88" s="7" t="s">
        <v>21</v>
      </c>
      <c r="C88" s="7" t="s">
        <v>213</v>
      </c>
      <c r="D88" s="8" t="n">
        <v>46328</v>
      </c>
      <c r="E88" s="8" t="n">
        <v>46335</v>
      </c>
      <c r="F88" s="7" t="str">
        <f aca="false">CHOOSE(WEEKDAY(E88,2),"Mo","Di","Mi","Do","Fr","Sa","So")</f>
        <v>Mo</v>
      </c>
      <c r="G88" s="7" t="s">
        <v>214</v>
      </c>
      <c r="H88" s="7" t="s">
        <v>11</v>
      </c>
      <c r="I88" s="7" t="s">
        <v>45</v>
      </c>
      <c r="J88" s="7" t="s">
        <v>215</v>
      </c>
      <c r="K88" s="7" t="s">
        <v>83</v>
      </c>
      <c r="L88" s="7"/>
      <c r="M88" s="7" t="str">
        <f aca="true">IF(H88="erledigt","",IF(E88&lt;TODAY(),"ÜBERFÄLLIG",IF(E88-TODAY()&lt;=2,"bald fällig","")))</f>
        <v/>
      </c>
    </row>
    <row r="89" customFormat="false" ht="23.85" hidden="false" customHeight="false" outlineLevel="0" collapsed="false">
      <c r="A89" s="7" t="n">
        <v>88</v>
      </c>
      <c r="B89" s="7" t="s">
        <v>15</v>
      </c>
      <c r="C89" s="7" t="s">
        <v>216</v>
      </c>
      <c r="D89" s="8" t="n">
        <v>46328</v>
      </c>
      <c r="E89" s="8" t="n">
        <v>46336</v>
      </c>
      <c r="F89" s="7" t="str">
        <f aca="false">CHOOSE(WEEKDAY(E89,2),"Mo","Di","Mi","Do","Fr","Sa","So")</f>
        <v>Di</v>
      </c>
      <c r="G89" s="7" t="s">
        <v>217</v>
      </c>
      <c r="H89" s="7" t="s">
        <v>11</v>
      </c>
      <c r="I89" s="7" t="s">
        <v>60</v>
      </c>
      <c r="J89" s="7" t="s">
        <v>218</v>
      </c>
      <c r="K89" s="7" t="s">
        <v>83</v>
      </c>
      <c r="L89" s="7" t="s">
        <v>219</v>
      </c>
      <c r="M89" s="7" t="str">
        <f aca="true">IF(H89="erledigt","",IF(E89&lt;TODAY(),"ÜBERFÄLLIG",IF(E89-TODAY()&lt;=2,"bald fällig","")))</f>
        <v/>
      </c>
    </row>
    <row r="90" customFormat="false" ht="23.85" hidden="false" customHeight="false" outlineLevel="0" collapsed="false">
      <c r="A90" s="7" t="n">
        <v>89</v>
      </c>
      <c r="B90" s="7" t="s">
        <v>21</v>
      </c>
      <c r="C90" s="7" t="s">
        <v>220</v>
      </c>
      <c r="D90" s="8" t="n">
        <v>46331</v>
      </c>
      <c r="E90" s="8" t="n">
        <v>46336</v>
      </c>
      <c r="F90" s="7" t="str">
        <f aca="false">CHOOSE(WEEKDAY(E90,2),"Mo","Di","Mi","Do","Fr","Sa","So")</f>
        <v>Di</v>
      </c>
      <c r="G90" s="7" t="s">
        <v>221</v>
      </c>
      <c r="H90" s="7" t="s">
        <v>11</v>
      </c>
      <c r="I90" s="7" t="s">
        <v>60</v>
      </c>
      <c r="J90" s="7"/>
      <c r="K90" s="7" t="s">
        <v>83</v>
      </c>
      <c r="L90" s="7"/>
      <c r="M90" s="7" t="str">
        <f aca="true">IF(H90="erledigt","",IF(E90&lt;TODAY(),"ÜBERFÄLLIG",IF(E90-TODAY()&lt;=2,"bald fällig","")))</f>
        <v/>
      </c>
    </row>
    <row r="91" customFormat="false" ht="15" hidden="false" customHeight="false" outlineLevel="0" collapsed="false">
      <c r="A91" s="7" t="n">
        <v>90</v>
      </c>
      <c r="B91" s="7" t="s">
        <v>16</v>
      </c>
      <c r="C91" s="7" t="s">
        <v>222</v>
      </c>
      <c r="D91" s="8" t="n">
        <v>46336</v>
      </c>
      <c r="E91" s="8" t="n">
        <v>46337</v>
      </c>
      <c r="F91" s="7" t="str">
        <f aca="false">CHOOSE(WEEKDAY(E91,2),"Mo","Di","Mi","Do","Fr","Sa","So")</f>
        <v>Mi</v>
      </c>
      <c r="G91" s="7" t="s">
        <v>44</v>
      </c>
      <c r="H91" s="7" t="s">
        <v>11</v>
      </c>
      <c r="I91" s="7" t="s">
        <v>60</v>
      </c>
      <c r="J91" s="7"/>
      <c r="K91" s="7" t="s">
        <v>83</v>
      </c>
      <c r="L91" s="7"/>
      <c r="M91" s="7" t="str">
        <f aca="true">IF(H91="erledigt","",IF(E91&lt;TODAY(),"ÜBERFÄLLIG",IF(E91-TODAY()&lt;=2,"bald fällig","")))</f>
        <v/>
      </c>
    </row>
    <row r="92" customFormat="false" ht="15" hidden="false" customHeight="false" outlineLevel="0" collapsed="false">
      <c r="A92" s="7" t="n">
        <v>91</v>
      </c>
      <c r="B92" s="7" t="s">
        <v>14</v>
      </c>
      <c r="C92" s="7" t="s">
        <v>223</v>
      </c>
      <c r="D92" s="8" t="n">
        <v>46329</v>
      </c>
      <c r="E92" s="8" t="n">
        <v>46338</v>
      </c>
      <c r="F92" s="7" t="str">
        <f aca="false">CHOOSE(WEEKDAY(E92,2),"Mo","Di","Mi","Do","Fr","Sa","So")</f>
        <v>Do</v>
      </c>
      <c r="G92" s="7" t="s">
        <v>149</v>
      </c>
      <c r="H92" s="7" t="s">
        <v>11</v>
      </c>
      <c r="I92" s="7" t="s">
        <v>60</v>
      </c>
      <c r="J92" s="7" t="s">
        <v>224</v>
      </c>
      <c r="K92" s="7" t="s">
        <v>46</v>
      </c>
      <c r="L92" s="7"/>
      <c r="M92" s="7" t="str">
        <f aca="true">IF(H92="erledigt","",IF(E92&lt;TODAY(),"ÜBERFÄLLIG",IF(E92-TODAY()&lt;=2,"bald fällig","")))</f>
        <v/>
      </c>
    </row>
    <row r="93" customFormat="false" ht="15" hidden="false" customHeight="false" outlineLevel="0" collapsed="false">
      <c r="A93" s="7" t="n">
        <v>92</v>
      </c>
      <c r="B93" s="7" t="s">
        <v>20</v>
      </c>
      <c r="C93" s="7" t="s">
        <v>225</v>
      </c>
      <c r="D93" s="8" t="n">
        <v>46335</v>
      </c>
      <c r="E93" s="8" t="n">
        <v>46338</v>
      </c>
      <c r="F93" s="7" t="str">
        <f aca="false">CHOOSE(WEEKDAY(E93,2),"Mo","Di","Mi","Do","Fr","Sa","So")</f>
        <v>Do</v>
      </c>
      <c r="G93" s="7" t="s">
        <v>71</v>
      </c>
      <c r="H93" s="7" t="s">
        <v>11</v>
      </c>
      <c r="I93" s="7" t="s">
        <v>60</v>
      </c>
      <c r="J93" s="7" t="s">
        <v>226</v>
      </c>
      <c r="K93" s="7" t="s">
        <v>83</v>
      </c>
      <c r="L93" s="7"/>
      <c r="M93" s="7" t="str">
        <f aca="true">IF(H93="erledigt","",IF(E93&lt;TODAY(),"ÜBERFÄLLIG",IF(E93-TODAY()&lt;=2,"bald fällig","")))</f>
        <v/>
      </c>
    </row>
    <row r="94" customFormat="false" ht="15" hidden="false" customHeight="false" outlineLevel="0" collapsed="false">
      <c r="A94" s="7" t="n">
        <v>93</v>
      </c>
      <c r="B94" s="7" t="s">
        <v>19</v>
      </c>
      <c r="C94" s="7" t="s">
        <v>227</v>
      </c>
      <c r="D94" s="8" t="n">
        <v>46331</v>
      </c>
      <c r="E94" s="8" t="n">
        <v>46338</v>
      </c>
      <c r="F94" s="7" t="str">
        <f aca="false">CHOOSE(WEEKDAY(E94,2),"Mo","Di","Mi","Do","Fr","Sa","So")</f>
        <v>Do</v>
      </c>
      <c r="G94" s="7" t="s">
        <v>97</v>
      </c>
      <c r="H94" s="7" t="s">
        <v>11</v>
      </c>
      <c r="I94" s="7" t="s">
        <v>45</v>
      </c>
      <c r="J94" s="7"/>
      <c r="K94" s="7" t="s">
        <v>46</v>
      </c>
      <c r="L94" s="7"/>
      <c r="M94" s="7" t="str">
        <f aca="true">IF(H94="erledigt","",IF(E94&lt;TODAY(),"ÜBERFÄLLIG",IF(E94-TODAY()&lt;=2,"bald fällig","")))</f>
        <v/>
      </c>
    </row>
    <row r="95" customFormat="false" ht="23.85" hidden="false" customHeight="false" outlineLevel="0" collapsed="false">
      <c r="A95" s="7" t="n">
        <v>94</v>
      </c>
      <c r="B95" s="7" t="s">
        <v>14</v>
      </c>
      <c r="C95" s="7" t="s">
        <v>228</v>
      </c>
      <c r="D95" s="8" t="n">
        <v>46324</v>
      </c>
      <c r="E95" s="8" t="n">
        <v>46338</v>
      </c>
      <c r="F95" s="7" t="str">
        <f aca="false">CHOOSE(WEEKDAY(E95,2),"Mo","Di","Mi","Do","Fr","Sa","So")</f>
        <v>Do</v>
      </c>
      <c r="G95" s="7" t="s">
        <v>97</v>
      </c>
      <c r="H95" s="7" t="s">
        <v>11</v>
      </c>
      <c r="I95" s="7" t="s">
        <v>197</v>
      </c>
      <c r="J95" s="7"/>
      <c r="K95" s="7" t="s">
        <v>46</v>
      </c>
      <c r="L95" s="7"/>
      <c r="M95" s="7" t="str">
        <f aca="true">IF(H95="erledigt","",IF(E95&lt;TODAY(),"ÜBERFÄLLIG",IF(E95-TODAY()&lt;=2,"bald fällig","")))</f>
        <v/>
      </c>
    </row>
    <row r="96" customFormat="false" ht="15" hidden="false" customHeight="false" outlineLevel="0" collapsed="false">
      <c r="A96" s="7" t="n">
        <v>95</v>
      </c>
      <c r="B96" s="7" t="s">
        <v>14</v>
      </c>
      <c r="C96" s="7" t="s">
        <v>229</v>
      </c>
      <c r="D96" s="8" t="n">
        <v>46333</v>
      </c>
      <c r="E96" s="8" t="n">
        <v>46340</v>
      </c>
      <c r="F96" s="7" t="str">
        <f aca="false">CHOOSE(WEEKDAY(E96,2),"Mo","Di","Mi","Do","Fr","Sa","So")</f>
        <v>Sa</v>
      </c>
      <c r="G96" s="7" t="s">
        <v>149</v>
      </c>
      <c r="H96" s="7" t="s">
        <v>11</v>
      </c>
      <c r="I96" s="7" t="s">
        <v>60</v>
      </c>
      <c r="J96" s="7" t="s">
        <v>230</v>
      </c>
      <c r="K96" s="7" t="s">
        <v>46</v>
      </c>
      <c r="L96" s="7"/>
      <c r="M96" s="7" t="str">
        <f aca="true">IF(H96="erledigt","",IF(E96&lt;TODAY(),"ÜBERFÄLLIG",IF(E96-TODAY()&lt;=2,"bald fällig","")))</f>
        <v/>
      </c>
    </row>
    <row r="97" customFormat="false" ht="15" hidden="false" customHeight="false" outlineLevel="0" collapsed="false">
      <c r="A97" s="7" t="n">
        <v>96</v>
      </c>
      <c r="B97" s="7" t="s">
        <v>14</v>
      </c>
      <c r="C97" s="7" t="s">
        <v>231</v>
      </c>
      <c r="D97" s="8" t="n">
        <v>46334</v>
      </c>
      <c r="E97" s="8" t="n">
        <v>46340</v>
      </c>
      <c r="F97" s="7" t="str">
        <f aca="false">CHOOSE(WEEKDAY(E97,2),"Mo","Di","Mi","Do","Fr","Sa","So")</f>
        <v>Sa</v>
      </c>
      <c r="G97" s="7" t="s">
        <v>156</v>
      </c>
      <c r="H97" s="7" t="s">
        <v>11</v>
      </c>
      <c r="I97" s="7" t="s">
        <v>45</v>
      </c>
      <c r="J97" s="7"/>
      <c r="K97" s="7" t="s">
        <v>83</v>
      </c>
      <c r="L97" s="7"/>
      <c r="M97" s="7" t="str">
        <f aca="true">IF(H97="erledigt","",IF(E97&lt;TODAY(),"ÜBERFÄLLIG",IF(E97-TODAY()&lt;=2,"bald fällig","")))</f>
        <v/>
      </c>
    </row>
    <row r="98" customFormat="false" ht="23.85" hidden="false" customHeight="false" outlineLevel="0" collapsed="false">
      <c r="A98" s="7" t="n">
        <v>97</v>
      </c>
      <c r="B98" s="7" t="s">
        <v>14</v>
      </c>
      <c r="C98" s="7" t="s">
        <v>232</v>
      </c>
      <c r="D98" s="8" t="n">
        <v>46341</v>
      </c>
      <c r="E98" s="8" t="n">
        <v>46341</v>
      </c>
      <c r="F98" s="7" t="str">
        <f aca="false">CHOOSE(WEEKDAY(E98,2),"Mo","Di","Mi","Do","Fr","Sa","So")</f>
        <v>So</v>
      </c>
      <c r="G98" s="7" t="s">
        <v>44</v>
      </c>
      <c r="H98" s="7" t="s">
        <v>11</v>
      </c>
      <c r="I98" s="7" t="s">
        <v>60</v>
      </c>
      <c r="J98" s="7" t="s">
        <v>233</v>
      </c>
      <c r="K98" s="7" t="s">
        <v>46</v>
      </c>
      <c r="L98" s="7" t="s">
        <v>234</v>
      </c>
      <c r="M98" s="7" t="str">
        <f aca="true">IF(H98="erledigt","",IF(E98&lt;TODAY(),"ÜBERFÄLLIG",IF(E98-TODAY()&lt;=2,"bald fällig","")))</f>
        <v/>
      </c>
    </row>
    <row r="99" customFormat="false" ht="15" hidden="false" customHeight="false" outlineLevel="0" collapsed="false">
      <c r="A99" s="7" t="n">
        <v>98</v>
      </c>
      <c r="B99" s="7" t="s">
        <v>16</v>
      </c>
      <c r="C99" s="7" t="s">
        <v>235</v>
      </c>
      <c r="D99" s="8" t="n">
        <v>46341</v>
      </c>
      <c r="E99" s="8" t="n">
        <v>46341</v>
      </c>
      <c r="F99" s="7" t="str">
        <f aca="false">CHOOSE(WEEKDAY(E99,2),"Mo","Di","Mi","Do","Fr","Sa","So")</f>
        <v>So</v>
      </c>
      <c r="G99" s="7" t="s">
        <v>44</v>
      </c>
      <c r="H99" s="7" t="s">
        <v>11</v>
      </c>
      <c r="I99" s="7" t="s">
        <v>60</v>
      </c>
      <c r="J99" s="7"/>
      <c r="K99" s="7" t="s">
        <v>83</v>
      </c>
      <c r="L99" s="7"/>
      <c r="M99" s="7" t="str">
        <f aca="true">IF(H99="erledigt","",IF(E99&lt;TODAY(),"ÜBERFÄLLIG",IF(E99-TODAY()&lt;=2,"bald fällig","")))</f>
        <v/>
      </c>
    </row>
    <row r="100" customFormat="false" ht="15" hidden="false" customHeight="false" outlineLevel="0" collapsed="false">
      <c r="A100" s="7" t="n">
        <v>99</v>
      </c>
      <c r="B100" s="7" t="s">
        <v>17</v>
      </c>
      <c r="C100" s="7" t="s">
        <v>236</v>
      </c>
      <c r="D100" s="8" t="n">
        <v>46334</v>
      </c>
      <c r="E100" s="8" t="n">
        <v>46341</v>
      </c>
      <c r="F100" s="7" t="str">
        <f aca="false">CHOOSE(WEEKDAY(E100,2),"Mo","Di","Mi","Do","Fr","Sa","So")</f>
        <v>So</v>
      </c>
      <c r="G100" s="7" t="s">
        <v>44</v>
      </c>
      <c r="H100" s="7" t="s">
        <v>11</v>
      </c>
      <c r="I100" s="7" t="s">
        <v>60</v>
      </c>
      <c r="J100" s="7"/>
      <c r="K100" s="7" t="s">
        <v>83</v>
      </c>
      <c r="L100" s="7"/>
      <c r="M100" s="7" t="str">
        <f aca="true">IF(H100="erledigt","",IF(E100&lt;TODAY(),"ÜBERFÄLLIG",IF(E100-TODAY()&lt;=2,"bald fällig","")))</f>
        <v/>
      </c>
    </row>
    <row r="101" customFormat="false" ht="23.85" hidden="false" customHeight="false" outlineLevel="0" collapsed="false">
      <c r="A101" s="7" t="n">
        <v>100</v>
      </c>
      <c r="B101" s="7" t="s">
        <v>18</v>
      </c>
      <c r="C101" s="7" t="s">
        <v>237</v>
      </c>
      <c r="D101" s="8" t="n">
        <v>46327</v>
      </c>
      <c r="E101" s="8" t="n">
        <v>46341</v>
      </c>
      <c r="F101" s="7" t="str">
        <f aca="false">CHOOSE(WEEKDAY(E101,2),"Mo","Di","Mi","Do","Fr","Sa","So")</f>
        <v>So</v>
      </c>
      <c r="G101" s="7" t="s">
        <v>44</v>
      </c>
      <c r="H101" s="7" t="s">
        <v>11</v>
      </c>
      <c r="I101" s="7" t="s">
        <v>60</v>
      </c>
      <c r="J101" s="7" t="s">
        <v>238</v>
      </c>
      <c r="K101" s="7" t="s">
        <v>83</v>
      </c>
      <c r="L101" s="7" t="s">
        <v>239</v>
      </c>
      <c r="M101" s="7" t="str">
        <f aca="true">IF(H101="erledigt","",IF(E101&lt;TODAY(),"ÜBERFÄLLIG",IF(E101-TODAY()&lt;=2,"bald fällig","")))</f>
        <v/>
      </c>
    </row>
    <row r="102" customFormat="false" ht="15" hidden="false" customHeight="false" outlineLevel="0" collapsed="false">
      <c r="A102" s="7" t="n">
        <v>101</v>
      </c>
      <c r="B102" s="7" t="s">
        <v>19</v>
      </c>
      <c r="C102" s="7" t="s">
        <v>240</v>
      </c>
      <c r="D102" s="8" t="n">
        <v>46336</v>
      </c>
      <c r="E102" s="8" t="n">
        <v>46341</v>
      </c>
      <c r="F102" s="7" t="str">
        <f aca="false">CHOOSE(WEEKDAY(E102,2),"Mo","Di","Mi","Do","Fr","Sa","So")</f>
        <v>So</v>
      </c>
      <c r="G102" s="7" t="s">
        <v>156</v>
      </c>
      <c r="H102" s="7" t="s">
        <v>11</v>
      </c>
      <c r="I102" s="7" t="s">
        <v>60</v>
      </c>
      <c r="J102" s="7" t="s">
        <v>241</v>
      </c>
      <c r="K102" s="7" t="s">
        <v>83</v>
      </c>
      <c r="L102" s="7"/>
      <c r="M102" s="7" t="str">
        <f aca="true">IF(H102="erledigt","",IF(E102&lt;TODAY(),"ÜBERFÄLLIG",IF(E102-TODAY()&lt;=2,"bald fällig","")))</f>
        <v/>
      </c>
    </row>
    <row r="103" customFormat="false" ht="23.85" hidden="false" customHeight="false" outlineLevel="0" collapsed="false">
      <c r="A103" s="7" t="n">
        <v>102</v>
      </c>
      <c r="B103" s="7" t="s">
        <v>13</v>
      </c>
      <c r="C103" s="7" t="s">
        <v>172</v>
      </c>
      <c r="D103" s="8" t="n">
        <v>46341</v>
      </c>
      <c r="E103" s="8" t="n">
        <v>46341</v>
      </c>
      <c r="F103" s="7" t="str">
        <f aca="false">CHOOSE(WEEKDAY(E103,2),"Mo","Di","Mi","Do","Fr","Sa","So")</f>
        <v>So</v>
      </c>
      <c r="G103" s="7" t="s">
        <v>44</v>
      </c>
      <c r="H103" s="7" t="s">
        <v>11</v>
      </c>
      <c r="I103" s="7" t="s">
        <v>45</v>
      </c>
      <c r="J103" s="7"/>
      <c r="K103" s="7" t="s">
        <v>83</v>
      </c>
      <c r="L103" s="7" t="s">
        <v>173</v>
      </c>
      <c r="M103" s="7" t="str">
        <f aca="true">IF(H103="erledigt","",IF(E103&lt;TODAY(),"ÜBERFÄLLIG",IF(E103-TODAY()&lt;=2,"bald fällig","")))</f>
        <v/>
      </c>
    </row>
    <row r="104" customFormat="false" ht="15" hidden="false" customHeight="false" outlineLevel="0" collapsed="false">
      <c r="A104" s="7" t="n">
        <v>103</v>
      </c>
      <c r="B104" s="7" t="s">
        <v>14</v>
      </c>
      <c r="C104" s="7" t="s">
        <v>242</v>
      </c>
      <c r="D104" s="8" t="n">
        <v>46335</v>
      </c>
      <c r="E104" s="8" t="n">
        <v>46341</v>
      </c>
      <c r="F104" s="7" t="str">
        <f aca="false">CHOOSE(WEEKDAY(E104,2),"Mo","Di","Mi","Do","Fr","Sa","So")</f>
        <v>So</v>
      </c>
      <c r="G104" s="7" t="s">
        <v>71</v>
      </c>
      <c r="H104" s="7" t="s">
        <v>11</v>
      </c>
      <c r="I104" s="7" t="s">
        <v>45</v>
      </c>
      <c r="J104" s="7"/>
      <c r="K104" s="7" t="s">
        <v>83</v>
      </c>
      <c r="L104" s="7"/>
      <c r="M104" s="7" t="str">
        <f aca="true">IF(H104="erledigt","",IF(E104&lt;TODAY(),"ÜBERFÄLLIG",IF(E104-TODAY()&lt;=2,"bald fällig","")))</f>
        <v/>
      </c>
    </row>
    <row r="105" customFormat="false" ht="15" hidden="false" customHeight="false" outlineLevel="0" collapsed="false">
      <c r="A105" s="7" t="n">
        <v>104</v>
      </c>
      <c r="B105" s="7" t="s">
        <v>17</v>
      </c>
      <c r="C105" s="7" t="s">
        <v>243</v>
      </c>
      <c r="D105" s="8" t="n">
        <v>46327</v>
      </c>
      <c r="E105" s="8" t="n">
        <v>46341</v>
      </c>
      <c r="F105" s="7" t="str">
        <f aca="false">CHOOSE(WEEKDAY(E105,2),"Mo","Di","Mi","Do","Fr","Sa","So")</f>
        <v>So</v>
      </c>
      <c r="G105" s="7" t="s">
        <v>44</v>
      </c>
      <c r="H105" s="7" t="s">
        <v>11</v>
      </c>
      <c r="I105" s="7" t="s">
        <v>45</v>
      </c>
      <c r="J105" s="7"/>
      <c r="K105" s="7" t="s">
        <v>83</v>
      </c>
      <c r="L105" s="7"/>
      <c r="M105" s="7" t="str">
        <f aca="true">IF(H105="erledigt","",IF(E105&lt;TODAY(),"ÜBERFÄLLIG",IF(E105-TODAY()&lt;=2,"bald fällig","")))</f>
        <v/>
      </c>
    </row>
    <row r="106" customFormat="false" ht="23.85" hidden="false" customHeight="false" outlineLevel="0" collapsed="false">
      <c r="A106" s="7" t="n">
        <v>105</v>
      </c>
      <c r="B106" s="7" t="s">
        <v>18</v>
      </c>
      <c r="C106" s="7" t="s">
        <v>244</v>
      </c>
      <c r="D106" s="8" t="n">
        <v>46327</v>
      </c>
      <c r="E106" s="8" t="n">
        <v>46341</v>
      </c>
      <c r="F106" s="7" t="str">
        <f aca="false">CHOOSE(WEEKDAY(E106,2),"Mo","Di","Mi","Do","Fr","Sa","So")</f>
        <v>So</v>
      </c>
      <c r="G106" s="7" t="s">
        <v>44</v>
      </c>
      <c r="H106" s="7" t="s">
        <v>11</v>
      </c>
      <c r="I106" s="7" t="s">
        <v>45</v>
      </c>
      <c r="J106" s="7" t="s">
        <v>98</v>
      </c>
      <c r="K106" s="7" t="s">
        <v>83</v>
      </c>
      <c r="L106" s="7"/>
      <c r="M106" s="7" t="str">
        <f aca="true">IF(H106="erledigt","",IF(E106&lt;TODAY(),"ÜBERFÄLLIG",IF(E106-TODAY()&lt;=2,"bald fällig","")))</f>
        <v/>
      </c>
    </row>
    <row r="107" customFormat="false" ht="15" hidden="false" customHeight="false" outlineLevel="0" collapsed="false">
      <c r="A107" s="7" t="n">
        <v>106</v>
      </c>
      <c r="B107" s="7" t="s">
        <v>19</v>
      </c>
      <c r="C107" s="7" t="s">
        <v>245</v>
      </c>
      <c r="D107" s="8" t="n">
        <v>46331</v>
      </c>
      <c r="E107" s="8" t="n">
        <v>46341</v>
      </c>
      <c r="F107" s="7" t="str">
        <f aca="false">CHOOSE(WEEKDAY(E107,2),"Mo","Di","Mi","Do","Fr","Sa","So")</f>
        <v>So</v>
      </c>
      <c r="G107" s="7" t="s">
        <v>44</v>
      </c>
      <c r="H107" s="7" t="s">
        <v>11</v>
      </c>
      <c r="I107" s="7" t="s">
        <v>45</v>
      </c>
      <c r="J107" s="7"/>
      <c r="K107" s="7" t="s">
        <v>46</v>
      </c>
      <c r="L107" s="7"/>
      <c r="M107" s="7" t="str">
        <f aca="true">IF(H107="erledigt","",IF(E107&lt;TODAY(),"ÜBERFÄLLIG",IF(E107-TODAY()&lt;=2,"bald fällig","")))</f>
        <v/>
      </c>
    </row>
    <row r="108" customFormat="false" ht="15" hidden="false" customHeight="false" outlineLevel="0" collapsed="false">
      <c r="A108" s="7" t="n">
        <v>107</v>
      </c>
      <c r="B108" s="7" t="s">
        <v>16</v>
      </c>
      <c r="C108" s="7" t="s">
        <v>246</v>
      </c>
      <c r="D108" s="8" t="n">
        <v>46342</v>
      </c>
      <c r="E108" s="8" t="n">
        <v>46342</v>
      </c>
      <c r="F108" s="7" t="str">
        <f aca="false">CHOOSE(WEEKDAY(E108,2),"Mo","Di","Mi","Do","Fr","Sa","So")</f>
        <v>Mo</v>
      </c>
      <c r="G108" s="7" t="s">
        <v>44</v>
      </c>
      <c r="H108" s="7" t="s">
        <v>11</v>
      </c>
      <c r="I108" s="7" t="s">
        <v>45</v>
      </c>
      <c r="J108" s="7"/>
      <c r="K108" s="7" t="s">
        <v>83</v>
      </c>
      <c r="L108" s="7"/>
      <c r="M108" s="7" t="str">
        <f aca="true">IF(H108="erledigt","",IF(E108&lt;TODAY(),"ÜBERFÄLLIG",IF(E108-TODAY()&lt;=2,"bald fällig","")))</f>
        <v/>
      </c>
    </row>
    <row r="109" customFormat="false" ht="15" hidden="false" customHeight="false" outlineLevel="0" collapsed="false">
      <c r="A109" s="7" t="n">
        <v>108</v>
      </c>
      <c r="B109" s="7" t="s">
        <v>18</v>
      </c>
      <c r="C109" s="7" t="s">
        <v>247</v>
      </c>
      <c r="D109" s="8" t="n">
        <v>46341</v>
      </c>
      <c r="E109" s="8" t="n">
        <v>46342</v>
      </c>
      <c r="F109" s="7" t="str">
        <f aca="false">CHOOSE(WEEKDAY(E109,2),"Mo","Di","Mi","Do","Fr","Sa","So")</f>
        <v>Mo</v>
      </c>
      <c r="G109" s="7" t="s">
        <v>97</v>
      </c>
      <c r="H109" s="7" t="s">
        <v>11</v>
      </c>
      <c r="I109" s="7" t="s">
        <v>45</v>
      </c>
      <c r="J109" s="7"/>
      <c r="K109" s="7" t="s">
        <v>83</v>
      </c>
      <c r="L109" s="7"/>
      <c r="M109" s="7" t="str">
        <f aca="true">IF(H109="erledigt","",IF(E109&lt;TODAY(),"ÜBERFÄLLIG",IF(E109-TODAY()&lt;=2,"bald fällig","")))</f>
        <v/>
      </c>
    </row>
    <row r="110" customFormat="false" ht="15" hidden="false" customHeight="false" outlineLevel="0" collapsed="false">
      <c r="A110" s="7" t="n">
        <v>109</v>
      </c>
      <c r="B110" s="7" t="s">
        <v>13</v>
      </c>
      <c r="C110" s="7" t="s">
        <v>248</v>
      </c>
      <c r="D110" s="8" t="n">
        <v>46342</v>
      </c>
      <c r="E110" s="8" t="n">
        <v>46343</v>
      </c>
      <c r="F110" s="7" t="str">
        <f aca="false">CHOOSE(WEEKDAY(E110,2),"Mo","Di","Mi","Do","Fr","Sa","So")</f>
        <v>Di</v>
      </c>
      <c r="G110" s="7" t="s">
        <v>97</v>
      </c>
      <c r="H110" s="7" t="s">
        <v>11</v>
      </c>
      <c r="I110" s="7" t="s">
        <v>45</v>
      </c>
      <c r="J110" s="7" t="s">
        <v>249</v>
      </c>
      <c r="K110" s="7" t="s">
        <v>83</v>
      </c>
      <c r="L110" s="7"/>
      <c r="M110" s="7" t="str">
        <f aca="true">IF(H110="erledigt","",IF(E110&lt;TODAY(),"ÜBERFÄLLIG",IF(E110-TODAY()&lt;=2,"bald fällig","")))</f>
        <v/>
      </c>
    </row>
    <row r="111" customFormat="false" ht="23.85" hidden="false" customHeight="false" outlineLevel="0" collapsed="false">
      <c r="A111" s="7" t="n">
        <v>110</v>
      </c>
      <c r="B111" s="7" t="s">
        <v>19</v>
      </c>
      <c r="C111" s="7" t="s">
        <v>250</v>
      </c>
      <c r="D111" s="8" t="n">
        <v>46338</v>
      </c>
      <c r="E111" s="8" t="n">
        <v>46346</v>
      </c>
      <c r="F111" s="7" t="str">
        <f aca="false">CHOOSE(WEEKDAY(E111,2),"Mo","Di","Mi","Do","Fr","Sa","So")</f>
        <v>Fr</v>
      </c>
      <c r="G111" s="7" t="s">
        <v>44</v>
      </c>
      <c r="H111" s="7" t="s">
        <v>11</v>
      </c>
      <c r="I111" s="7" t="s">
        <v>60</v>
      </c>
      <c r="J111" s="7" t="s">
        <v>251</v>
      </c>
      <c r="K111" s="7" t="s">
        <v>83</v>
      </c>
      <c r="L111" s="7"/>
      <c r="M111" s="7" t="str">
        <f aca="true">IF(H111="erledigt","",IF(E111&lt;TODAY(),"ÜBERFÄLLIG",IF(E111-TODAY()&lt;=2,"bald fällig","")))</f>
        <v/>
      </c>
    </row>
    <row r="112" customFormat="false" ht="15" hidden="false" customHeight="false" outlineLevel="0" collapsed="false">
      <c r="A112" s="7" t="n">
        <v>111</v>
      </c>
      <c r="B112" s="7" t="s">
        <v>14</v>
      </c>
      <c r="C112" s="7" t="s">
        <v>252</v>
      </c>
      <c r="D112" s="8" t="n">
        <v>46342</v>
      </c>
      <c r="E112" s="8" t="n">
        <v>46348</v>
      </c>
      <c r="F112" s="7" t="str">
        <f aca="false">CHOOSE(WEEKDAY(E112,2),"Mo","Di","Mi","Do","Fr","Sa","So")</f>
        <v>So</v>
      </c>
      <c r="G112" s="7" t="s">
        <v>44</v>
      </c>
      <c r="H112" s="7" t="s">
        <v>11</v>
      </c>
      <c r="I112" s="7" t="s">
        <v>60</v>
      </c>
      <c r="J112" s="7" t="s">
        <v>253</v>
      </c>
      <c r="K112" s="7" t="s">
        <v>83</v>
      </c>
      <c r="L112" s="7"/>
      <c r="M112" s="7" t="str">
        <f aca="true">IF(H112="erledigt","",IF(E112&lt;TODAY(),"ÜBERFÄLLIG",IF(E112-TODAY()&lt;=2,"bald fällig","")))</f>
        <v/>
      </c>
    </row>
    <row r="113" customFormat="false" ht="15" hidden="false" customHeight="false" outlineLevel="0" collapsed="false">
      <c r="A113" s="7" t="n">
        <v>112</v>
      </c>
      <c r="B113" s="7" t="s">
        <v>21</v>
      </c>
      <c r="C113" s="7" t="s">
        <v>254</v>
      </c>
      <c r="D113" s="8" t="n">
        <v>46335</v>
      </c>
      <c r="E113" s="8" t="n">
        <v>46348</v>
      </c>
      <c r="F113" s="7" t="str">
        <f aca="false">CHOOSE(WEEKDAY(E113,2),"Mo","Di","Mi","Do","Fr","Sa","So")</f>
        <v>So</v>
      </c>
      <c r="G113" s="7" t="s">
        <v>44</v>
      </c>
      <c r="H113" s="7" t="s">
        <v>11</v>
      </c>
      <c r="I113" s="7" t="s">
        <v>60</v>
      </c>
      <c r="J113" s="7" t="s">
        <v>255</v>
      </c>
      <c r="K113" s="7" t="s">
        <v>46</v>
      </c>
      <c r="L113" s="7"/>
      <c r="M113" s="7" t="str">
        <f aca="true">IF(H113="erledigt","",IF(E113&lt;TODAY(),"ÜBERFÄLLIG",IF(E113-TODAY()&lt;=2,"bald fällig","")))</f>
        <v/>
      </c>
    </row>
    <row r="114" customFormat="false" ht="15" hidden="false" customHeight="false" outlineLevel="0" collapsed="false">
      <c r="A114" s="7" t="n">
        <v>113</v>
      </c>
      <c r="B114" s="7" t="s">
        <v>21</v>
      </c>
      <c r="C114" s="7" t="s">
        <v>256</v>
      </c>
      <c r="D114" s="8" t="n">
        <v>46335</v>
      </c>
      <c r="E114" s="8" t="n">
        <v>46348</v>
      </c>
      <c r="F114" s="7" t="str">
        <f aca="false">CHOOSE(WEEKDAY(E114,2),"Mo","Di","Mi","Do","Fr","Sa","So")</f>
        <v>So</v>
      </c>
      <c r="G114" s="7" t="s">
        <v>257</v>
      </c>
      <c r="H114" s="7" t="s">
        <v>11</v>
      </c>
      <c r="I114" s="7" t="s">
        <v>60</v>
      </c>
      <c r="J114" s="7" t="s">
        <v>258</v>
      </c>
      <c r="K114" s="7" t="s">
        <v>46</v>
      </c>
      <c r="L114" s="7" t="s">
        <v>259</v>
      </c>
      <c r="M114" s="7" t="str">
        <f aca="true">IF(H114="erledigt","",IF(E114&lt;TODAY(),"ÜBERFÄLLIG",IF(E114-TODAY()&lt;=2,"bald fällig","")))</f>
        <v/>
      </c>
    </row>
    <row r="115" customFormat="false" ht="15" hidden="false" customHeight="false" outlineLevel="0" collapsed="false">
      <c r="A115" s="7" t="n">
        <v>114</v>
      </c>
      <c r="B115" s="7" t="s">
        <v>21</v>
      </c>
      <c r="C115" s="7" t="s">
        <v>260</v>
      </c>
      <c r="D115" s="8" t="n">
        <v>46335</v>
      </c>
      <c r="E115" s="8" t="n">
        <v>46348</v>
      </c>
      <c r="F115" s="7" t="str">
        <f aca="false">CHOOSE(WEEKDAY(E115,2),"Mo","Di","Mi","Do","Fr","Sa","So")</f>
        <v>So</v>
      </c>
      <c r="G115" s="7" t="s">
        <v>44</v>
      </c>
      <c r="H115" s="7" t="s">
        <v>11</v>
      </c>
      <c r="I115" s="7" t="s">
        <v>60</v>
      </c>
      <c r="J115" s="7" t="s">
        <v>261</v>
      </c>
      <c r="K115" s="7" t="s">
        <v>83</v>
      </c>
      <c r="L115" s="7" t="s">
        <v>259</v>
      </c>
      <c r="M115" s="7" t="str">
        <f aca="true">IF(H115="erledigt","",IF(E115&lt;TODAY(),"ÜBERFÄLLIG",IF(E115-TODAY()&lt;=2,"bald fällig","")))</f>
        <v/>
      </c>
    </row>
    <row r="116" customFormat="false" ht="23.85" hidden="false" customHeight="false" outlineLevel="0" collapsed="false">
      <c r="A116" s="7" t="n">
        <v>115</v>
      </c>
      <c r="B116" s="7" t="s">
        <v>13</v>
      </c>
      <c r="C116" s="7" t="s">
        <v>172</v>
      </c>
      <c r="D116" s="8" t="n">
        <v>46348</v>
      </c>
      <c r="E116" s="8" t="n">
        <v>46348</v>
      </c>
      <c r="F116" s="7" t="str">
        <f aca="false">CHOOSE(WEEKDAY(E116,2),"Mo","Di","Mi","Do","Fr","Sa","So")</f>
        <v>So</v>
      </c>
      <c r="G116" s="7" t="s">
        <v>44</v>
      </c>
      <c r="H116" s="7" t="s">
        <v>11</v>
      </c>
      <c r="I116" s="7" t="s">
        <v>45</v>
      </c>
      <c r="J116" s="7"/>
      <c r="K116" s="7" t="s">
        <v>83</v>
      </c>
      <c r="L116" s="7" t="s">
        <v>173</v>
      </c>
      <c r="M116" s="7" t="str">
        <f aca="true">IF(H116="erledigt","",IF(E116&lt;TODAY(),"ÜBERFÄLLIG",IF(E116-TODAY()&lt;=2,"bald fällig","")))</f>
        <v/>
      </c>
    </row>
    <row r="117" customFormat="false" ht="15" hidden="false" customHeight="false" outlineLevel="0" collapsed="false">
      <c r="A117" s="7" t="n">
        <v>116</v>
      </c>
      <c r="B117" s="7" t="s">
        <v>15</v>
      </c>
      <c r="C117" s="7" t="s">
        <v>262</v>
      </c>
      <c r="D117" s="8" t="n">
        <v>46344</v>
      </c>
      <c r="E117" s="8" t="n">
        <v>46348</v>
      </c>
      <c r="F117" s="7" t="str">
        <f aca="false">CHOOSE(WEEKDAY(E117,2),"Mo","Di","Mi","Do","Fr","Sa","So")</f>
        <v>So</v>
      </c>
      <c r="G117" s="7" t="s">
        <v>156</v>
      </c>
      <c r="H117" s="7" t="s">
        <v>11</v>
      </c>
      <c r="I117" s="7" t="s">
        <v>45</v>
      </c>
      <c r="J117" s="7" t="s">
        <v>263</v>
      </c>
      <c r="K117" s="7" t="s">
        <v>83</v>
      </c>
      <c r="L117" s="7"/>
      <c r="M117" s="7" t="str">
        <f aca="true">IF(H117="erledigt","",IF(E117&lt;TODAY(),"ÜBERFÄLLIG",IF(E117-TODAY()&lt;=2,"bald fällig","")))</f>
        <v/>
      </c>
    </row>
    <row r="118" customFormat="false" ht="15" hidden="false" customHeight="false" outlineLevel="0" collapsed="false">
      <c r="A118" s="7" t="n">
        <v>117</v>
      </c>
      <c r="B118" s="7" t="s">
        <v>14</v>
      </c>
      <c r="C118" s="7" t="s">
        <v>264</v>
      </c>
      <c r="D118" s="8" t="n">
        <v>46346</v>
      </c>
      <c r="E118" s="8" t="n">
        <v>46350</v>
      </c>
      <c r="F118" s="7" t="str">
        <f aca="false">CHOOSE(WEEKDAY(E118,2),"Mo","Di","Mi","Do","Fr","Sa","So")</f>
        <v>Di</v>
      </c>
      <c r="G118" s="7" t="s">
        <v>44</v>
      </c>
      <c r="H118" s="7" t="s">
        <v>11</v>
      </c>
      <c r="I118" s="7" t="s">
        <v>45</v>
      </c>
      <c r="J118" s="7"/>
      <c r="K118" s="7" t="s">
        <v>83</v>
      </c>
      <c r="L118" s="7"/>
      <c r="M118" s="7" t="str">
        <f aca="true">IF(H118="erledigt","",IF(E118&lt;TODAY(),"ÜBERFÄLLIG",IF(E118-TODAY()&lt;=2,"bald fällig","")))</f>
        <v/>
      </c>
    </row>
    <row r="119" customFormat="false" ht="15" hidden="false" customHeight="false" outlineLevel="0" collapsed="false">
      <c r="A119" s="7" t="n">
        <v>118</v>
      </c>
      <c r="B119" s="7" t="s">
        <v>15</v>
      </c>
      <c r="C119" s="7" t="s">
        <v>265</v>
      </c>
      <c r="D119" s="8" t="n">
        <v>46346</v>
      </c>
      <c r="E119" s="8" t="n">
        <v>46351</v>
      </c>
      <c r="F119" s="7" t="str">
        <f aca="false">CHOOSE(WEEKDAY(E119,2),"Mo","Di","Mi","Do","Fr","Sa","So")</f>
        <v>Mi</v>
      </c>
      <c r="G119" s="7" t="s">
        <v>97</v>
      </c>
      <c r="H119" s="7" t="s">
        <v>11</v>
      </c>
      <c r="I119" s="7" t="s">
        <v>60</v>
      </c>
      <c r="J119" s="7" t="s">
        <v>266</v>
      </c>
      <c r="K119" s="7" t="s">
        <v>83</v>
      </c>
      <c r="L119" s="7"/>
      <c r="M119" s="7" t="str">
        <f aca="true">IF(H119="erledigt","",IF(E119&lt;TODAY(),"ÜBERFÄLLIG",IF(E119-TODAY()&lt;=2,"bald fällig","")))</f>
        <v/>
      </c>
    </row>
    <row r="120" customFormat="false" ht="23.85" hidden="false" customHeight="false" outlineLevel="0" collapsed="false">
      <c r="A120" s="7" t="n">
        <v>119</v>
      </c>
      <c r="B120" s="7" t="s">
        <v>17</v>
      </c>
      <c r="C120" s="7" t="s">
        <v>267</v>
      </c>
      <c r="D120" s="8" t="n">
        <v>46342</v>
      </c>
      <c r="E120" s="8" t="n">
        <v>46352</v>
      </c>
      <c r="F120" s="7" t="str">
        <f aca="false">CHOOSE(WEEKDAY(E120,2),"Mo","Di","Mi","Do","Fr","Sa","So")</f>
        <v>Do</v>
      </c>
      <c r="G120" s="7" t="s">
        <v>44</v>
      </c>
      <c r="H120" s="7" t="s">
        <v>11</v>
      </c>
      <c r="I120" s="7" t="s">
        <v>60</v>
      </c>
      <c r="J120" s="7" t="s">
        <v>268</v>
      </c>
      <c r="K120" s="7" t="s">
        <v>46</v>
      </c>
      <c r="L120" s="7"/>
      <c r="M120" s="7" t="str">
        <f aca="true">IF(H120="erledigt","",IF(E120&lt;TODAY(),"ÜBERFÄLLIG",IF(E120-TODAY()&lt;=2,"bald fällig","")))</f>
        <v/>
      </c>
    </row>
    <row r="121" customFormat="false" ht="23.85" hidden="false" customHeight="false" outlineLevel="0" collapsed="false">
      <c r="A121" s="7" t="n">
        <v>120</v>
      </c>
      <c r="B121" s="7" t="s">
        <v>19</v>
      </c>
      <c r="C121" s="7" t="s">
        <v>269</v>
      </c>
      <c r="D121" s="8" t="n">
        <v>46342</v>
      </c>
      <c r="E121" s="8" t="n">
        <v>46352</v>
      </c>
      <c r="F121" s="7" t="str">
        <f aca="false">CHOOSE(WEEKDAY(E121,2),"Mo","Di","Mi","Do","Fr","Sa","So")</f>
        <v>Do</v>
      </c>
      <c r="G121" s="7" t="s">
        <v>44</v>
      </c>
      <c r="H121" s="7" t="s">
        <v>11</v>
      </c>
      <c r="I121" s="7" t="s">
        <v>60</v>
      </c>
      <c r="J121" s="7" t="s">
        <v>270</v>
      </c>
      <c r="K121" s="7" t="s">
        <v>46</v>
      </c>
      <c r="L121" s="7"/>
      <c r="M121" s="7" t="str">
        <f aca="true">IF(H121="erledigt","",IF(E121&lt;TODAY(),"ÜBERFÄLLIG",IF(E121-TODAY()&lt;=2,"bald fällig","")))</f>
        <v/>
      </c>
    </row>
    <row r="122" customFormat="false" ht="23.85" hidden="false" customHeight="false" outlineLevel="0" collapsed="false">
      <c r="A122" s="7" t="n">
        <v>121</v>
      </c>
      <c r="B122" s="7" t="s">
        <v>19</v>
      </c>
      <c r="C122" s="7" t="s">
        <v>271</v>
      </c>
      <c r="D122" s="8" t="n">
        <v>46346</v>
      </c>
      <c r="E122" s="8" t="n">
        <v>46352</v>
      </c>
      <c r="F122" s="7" t="str">
        <f aca="false">CHOOSE(WEEKDAY(E122,2),"Mo","Di","Mi","Do","Fr","Sa","So")</f>
        <v>Do</v>
      </c>
      <c r="G122" s="7" t="s">
        <v>44</v>
      </c>
      <c r="H122" s="7" t="s">
        <v>11</v>
      </c>
      <c r="I122" s="7" t="s">
        <v>60</v>
      </c>
      <c r="J122" s="7"/>
      <c r="K122" s="7" t="s">
        <v>83</v>
      </c>
      <c r="L122" s="7"/>
      <c r="M122" s="7" t="str">
        <f aca="true">IF(H122="erledigt","",IF(E122&lt;TODAY(),"ÜBERFÄLLIG",IF(E122-TODAY()&lt;=2,"bald fällig","")))</f>
        <v/>
      </c>
    </row>
    <row r="123" customFormat="false" ht="23.85" hidden="false" customHeight="false" outlineLevel="0" collapsed="false">
      <c r="A123" s="7" t="n">
        <v>122</v>
      </c>
      <c r="B123" s="7" t="s">
        <v>15</v>
      </c>
      <c r="C123" s="7" t="s">
        <v>272</v>
      </c>
      <c r="D123" s="8" t="n">
        <v>46351</v>
      </c>
      <c r="E123" s="8" t="n">
        <v>46354</v>
      </c>
      <c r="F123" s="7" t="str">
        <f aca="false">CHOOSE(WEEKDAY(E123,2),"Mo","Di","Mi","Do","Fr","Sa","So")</f>
        <v>Sa</v>
      </c>
      <c r="G123" s="7" t="s">
        <v>44</v>
      </c>
      <c r="H123" s="7" t="s">
        <v>11</v>
      </c>
      <c r="I123" s="7" t="s">
        <v>60</v>
      </c>
      <c r="J123" s="7"/>
      <c r="K123" s="7" t="s">
        <v>83</v>
      </c>
      <c r="L123" s="7"/>
      <c r="M123" s="7" t="str">
        <f aca="true">IF(H123="erledigt","",IF(E123&lt;TODAY(),"ÜBERFÄLLIG",IF(E123-TODAY()&lt;=2,"bald fällig","")))</f>
        <v/>
      </c>
    </row>
    <row r="124" customFormat="false" ht="23.85" hidden="false" customHeight="false" outlineLevel="0" collapsed="false">
      <c r="A124" s="7" t="n">
        <v>123</v>
      </c>
      <c r="B124" s="7" t="s">
        <v>17</v>
      </c>
      <c r="C124" s="7" t="s">
        <v>273</v>
      </c>
      <c r="D124" s="8" t="n">
        <v>46342</v>
      </c>
      <c r="E124" s="8" t="n">
        <v>46354</v>
      </c>
      <c r="F124" s="7" t="str">
        <f aca="false">CHOOSE(WEEKDAY(E124,2),"Mo","Di","Mi","Do","Fr","Sa","So")</f>
        <v>Sa</v>
      </c>
      <c r="G124" s="7" t="s">
        <v>156</v>
      </c>
      <c r="H124" s="7" t="s">
        <v>11</v>
      </c>
      <c r="I124" s="7" t="s">
        <v>60</v>
      </c>
      <c r="J124" s="7" t="s">
        <v>274</v>
      </c>
      <c r="K124" s="7" t="s">
        <v>83</v>
      </c>
      <c r="L124" s="7"/>
      <c r="M124" s="7" t="str">
        <f aca="true">IF(H124="erledigt","",IF(E124&lt;TODAY(),"ÜBERFÄLLIG",IF(E124-TODAY()&lt;=2,"bald fällig","")))</f>
        <v/>
      </c>
    </row>
    <row r="125" customFormat="false" ht="23.85" hidden="false" customHeight="false" outlineLevel="0" collapsed="false">
      <c r="A125" s="7" t="n">
        <v>124</v>
      </c>
      <c r="B125" s="7" t="s">
        <v>16</v>
      </c>
      <c r="C125" s="7" t="s">
        <v>275</v>
      </c>
      <c r="D125" s="8" t="n">
        <v>46348</v>
      </c>
      <c r="E125" s="8" t="n">
        <v>46354</v>
      </c>
      <c r="F125" s="7" t="str">
        <f aca="false">CHOOSE(WEEKDAY(E125,2),"Mo","Di","Mi","Do","Fr","Sa","So")</f>
        <v>Sa</v>
      </c>
      <c r="G125" s="7" t="s">
        <v>156</v>
      </c>
      <c r="H125" s="7" t="s">
        <v>11</v>
      </c>
      <c r="I125" s="7" t="s">
        <v>45</v>
      </c>
      <c r="J125" s="7"/>
      <c r="K125" s="7" t="s">
        <v>83</v>
      </c>
      <c r="L125" s="7"/>
      <c r="M125" s="7" t="str">
        <f aca="true">IF(H125="erledigt","",IF(E125&lt;TODAY(),"ÜBERFÄLLIG",IF(E125-TODAY()&lt;=2,"bald fällig","")))</f>
        <v/>
      </c>
    </row>
    <row r="126" customFormat="false" ht="15" hidden="false" customHeight="false" outlineLevel="0" collapsed="false">
      <c r="A126" s="7" t="n">
        <v>125</v>
      </c>
      <c r="B126" s="7" t="s">
        <v>16</v>
      </c>
      <c r="C126" s="7" t="s">
        <v>276</v>
      </c>
      <c r="D126" s="8" t="n">
        <v>46355</v>
      </c>
      <c r="E126" s="8" t="n">
        <v>46355</v>
      </c>
      <c r="F126" s="7" t="str">
        <f aca="false">CHOOSE(WEEKDAY(E126,2),"Mo","Di","Mi","Do","Fr","Sa","So")</f>
        <v>So</v>
      </c>
      <c r="G126" s="7" t="s">
        <v>44</v>
      </c>
      <c r="H126" s="7" t="s">
        <v>11</v>
      </c>
      <c r="I126" s="7" t="s">
        <v>60</v>
      </c>
      <c r="J126" s="7"/>
      <c r="K126" s="7" t="s">
        <v>83</v>
      </c>
      <c r="L126" s="7"/>
      <c r="M126" s="7" t="str">
        <f aca="true">IF(H126="erledigt","",IF(E126&lt;TODAY(),"ÜBERFÄLLIG",IF(E126-TODAY()&lt;=2,"bald fällig","")))</f>
        <v/>
      </c>
    </row>
    <row r="127" customFormat="false" ht="15" hidden="false" customHeight="false" outlineLevel="0" collapsed="false">
      <c r="A127" s="7" t="n">
        <v>126</v>
      </c>
      <c r="B127" s="7" t="s">
        <v>17</v>
      </c>
      <c r="C127" s="7" t="s">
        <v>277</v>
      </c>
      <c r="D127" s="8" t="n">
        <v>46355</v>
      </c>
      <c r="E127" s="8" t="n">
        <v>46355</v>
      </c>
      <c r="F127" s="7" t="str">
        <f aca="false">CHOOSE(WEEKDAY(E127,2),"Mo","Di","Mi","Do","Fr","Sa","So")</f>
        <v>So</v>
      </c>
      <c r="G127" s="7" t="s">
        <v>44</v>
      </c>
      <c r="H127" s="7" t="s">
        <v>11</v>
      </c>
      <c r="I127" s="7" t="s">
        <v>60</v>
      </c>
      <c r="J127" s="7"/>
      <c r="K127" s="7" t="s">
        <v>46</v>
      </c>
      <c r="L127" s="7"/>
      <c r="M127" s="7" t="str">
        <f aca="true">IF(H127="erledigt","",IF(E127&lt;TODAY(),"ÜBERFÄLLIG",IF(E127-TODAY()&lt;=2,"bald fällig","")))</f>
        <v/>
      </c>
    </row>
    <row r="128" customFormat="false" ht="23.85" hidden="false" customHeight="false" outlineLevel="0" collapsed="false">
      <c r="A128" s="7" t="n">
        <v>127</v>
      </c>
      <c r="B128" s="7" t="s">
        <v>19</v>
      </c>
      <c r="C128" s="7" t="s">
        <v>278</v>
      </c>
      <c r="D128" s="8" t="n">
        <v>46355</v>
      </c>
      <c r="E128" s="8" t="n">
        <v>46355</v>
      </c>
      <c r="F128" s="7" t="str">
        <f aca="false">CHOOSE(WEEKDAY(E128,2),"Mo","Di","Mi","Do","Fr","Sa","So")</f>
        <v>So</v>
      </c>
      <c r="G128" s="7" t="s">
        <v>44</v>
      </c>
      <c r="H128" s="7" t="s">
        <v>11</v>
      </c>
      <c r="I128" s="7" t="s">
        <v>60</v>
      </c>
      <c r="J128" s="7"/>
      <c r="K128" s="7" t="s">
        <v>46</v>
      </c>
      <c r="L128" s="7" t="s">
        <v>279</v>
      </c>
      <c r="M128" s="7" t="str">
        <f aca="true">IF(H128="erledigt","",IF(E128&lt;TODAY(),"ÜBERFÄLLIG",IF(E128-TODAY()&lt;=2,"bald fällig","")))</f>
        <v/>
      </c>
    </row>
    <row r="129" customFormat="false" ht="15" hidden="false" customHeight="false" outlineLevel="0" collapsed="false">
      <c r="A129" s="7" t="n">
        <v>128</v>
      </c>
      <c r="B129" s="7" t="s">
        <v>22</v>
      </c>
      <c r="C129" s="7" t="s">
        <v>280</v>
      </c>
      <c r="D129" s="8" t="n">
        <v>46355</v>
      </c>
      <c r="E129" s="8" t="n">
        <v>46355</v>
      </c>
      <c r="F129" s="7" t="str">
        <f aca="false">CHOOSE(WEEKDAY(E129,2),"Mo","Di","Mi","Do","Fr","Sa","So")</f>
        <v>So</v>
      </c>
      <c r="G129" s="7" t="s">
        <v>71</v>
      </c>
      <c r="H129" s="7" t="s">
        <v>11</v>
      </c>
      <c r="I129" s="7" t="s">
        <v>60</v>
      </c>
      <c r="J129" s="7"/>
      <c r="K129" s="7" t="s">
        <v>46</v>
      </c>
      <c r="L129" s="7"/>
      <c r="M129" s="7" t="str">
        <f aca="true">IF(H129="erledigt","",IF(E129&lt;TODAY(),"ÜBERFÄLLIG",IF(E129-TODAY()&lt;=2,"bald fällig","")))</f>
        <v/>
      </c>
    </row>
    <row r="130" customFormat="false" ht="15" hidden="false" customHeight="false" outlineLevel="0" collapsed="false">
      <c r="A130" s="7" t="n">
        <v>129</v>
      </c>
      <c r="B130" s="7" t="s">
        <v>15</v>
      </c>
      <c r="C130" s="7" t="s">
        <v>281</v>
      </c>
      <c r="D130" s="8" t="n">
        <v>46354</v>
      </c>
      <c r="E130" s="8" t="n">
        <v>46355</v>
      </c>
      <c r="F130" s="7" t="str">
        <f aca="false">CHOOSE(WEEKDAY(E130,2),"Mo","Di","Mi","Do","Fr","Sa","So")</f>
        <v>So</v>
      </c>
      <c r="G130" s="7" t="s">
        <v>217</v>
      </c>
      <c r="H130" s="7" t="s">
        <v>11</v>
      </c>
      <c r="I130" s="7" t="s">
        <v>45</v>
      </c>
      <c r="J130" s="7"/>
      <c r="K130" s="7" t="s">
        <v>83</v>
      </c>
      <c r="L130" s="7"/>
      <c r="M130" s="7" t="str">
        <f aca="true">IF(H130="erledigt","",IF(E130&lt;TODAY(),"ÜBERFÄLLIG",IF(E130-TODAY()&lt;=2,"bald fällig","")))</f>
        <v/>
      </c>
    </row>
    <row r="131" customFormat="false" ht="15" hidden="false" customHeight="false" outlineLevel="0" collapsed="false">
      <c r="A131" s="7" t="n">
        <v>130</v>
      </c>
      <c r="B131" s="7" t="s">
        <v>16</v>
      </c>
      <c r="C131" s="7" t="s">
        <v>282</v>
      </c>
      <c r="D131" s="8" t="n">
        <v>46356</v>
      </c>
      <c r="E131" s="8" t="n">
        <v>46356</v>
      </c>
      <c r="F131" s="7" t="str">
        <f aca="false">CHOOSE(WEEKDAY(E131,2),"Mo","Di","Mi","Do","Fr","Sa","So")</f>
        <v>Mo</v>
      </c>
      <c r="G131" s="7" t="s">
        <v>44</v>
      </c>
      <c r="H131" s="7" t="s">
        <v>11</v>
      </c>
      <c r="I131" s="7" t="s">
        <v>60</v>
      </c>
      <c r="J131" s="7"/>
      <c r="K131" s="7" t="s">
        <v>83</v>
      </c>
      <c r="L131" s="7"/>
      <c r="M131" s="7" t="str">
        <f aca="true">IF(H131="erledigt","",IF(E131&lt;TODAY(),"ÜBERFÄLLIG",IF(E131-TODAY()&lt;=2,"bald fällig","")))</f>
        <v/>
      </c>
    </row>
    <row r="132" customFormat="false" ht="23.85" hidden="false" customHeight="false" outlineLevel="0" collapsed="false">
      <c r="A132" s="7" t="n">
        <v>131</v>
      </c>
      <c r="B132" s="7" t="s">
        <v>17</v>
      </c>
      <c r="C132" s="7" t="s">
        <v>283</v>
      </c>
      <c r="D132" s="8" t="n">
        <v>46325</v>
      </c>
      <c r="E132" s="8" t="n">
        <v>46356</v>
      </c>
      <c r="F132" s="7" t="str">
        <f aca="false">CHOOSE(WEEKDAY(E132,2),"Mo","Di","Mi","Do","Fr","Sa","So")</f>
        <v>Mo</v>
      </c>
      <c r="G132" s="7" t="s">
        <v>284</v>
      </c>
      <c r="H132" s="7" t="s">
        <v>11</v>
      </c>
      <c r="I132" s="7" t="s">
        <v>60</v>
      </c>
      <c r="J132" s="7" t="s">
        <v>285</v>
      </c>
      <c r="K132" s="7" t="s">
        <v>123</v>
      </c>
      <c r="L132" s="7" t="s">
        <v>286</v>
      </c>
      <c r="M132" s="7" t="str">
        <f aca="true">IF(H132="erledigt","",IF(E132&lt;TODAY(),"ÜBERFÄLLIG",IF(E132-TODAY()&lt;=2,"bald fällig","")))</f>
        <v/>
      </c>
    </row>
    <row r="133" customFormat="false" ht="15" hidden="false" customHeight="false" outlineLevel="0" collapsed="false">
      <c r="A133" s="7" t="n">
        <v>132</v>
      </c>
      <c r="B133" s="7" t="s">
        <v>17</v>
      </c>
      <c r="C133" s="7" t="s">
        <v>287</v>
      </c>
      <c r="D133" s="8" t="n">
        <v>46351</v>
      </c>
      <c r="E133" s="8" t="n">
        <v>46356</v>
      </c>
      <c r="F133" s="7" t="str">
        <f aca="false">CHOOSE(WEEKDAY(E133,2),"Mo","Di","Mi","Do","Fr","Sa","So")</f>
        <v>Mo</v>
      </c>
      <c r="G133" s="7" t="s">
        <v>44</v>
      </c>
      <c r="H133" s="7" t="s">
        <v>11</v>
      </c>
      <c r="I133" s="7" t="s">
        <v>45</v>
      </c>
      <c r="J133" s="7"/>
      <c r="K133" s="7" t="s">
        <v>83</v>
      </c>
      <c r="L133" s="7"/>
      <c r="M133" s="7" t="str">
        <f aca="true">IF(H133="erledigt","",IF(E133&lt;TODAY(),"ÜBERFÄLLIG",IF(E133-TODAY()&lt;=2,"bald fällig","")))</f>
        <v/>
      </c>
    </row>
    <row r="134" customFormat="false" ht="15" hidden="false" customHeight="false" outlineLevel="0" collapsed="false">
      <c r="A134" s="7" t="n">
        <v>133</v>
      </c>
      <c r="B134" s="7" t="s">
        <v>18</v>
      </c>
      <c r="C134" s="7" t="s">
        <v>288</v>
      </c>
      <c r="D134" s="8" t="n">
        <v>46342</v>
      </c>
      <c r="E134" s="8" t="n">
        <v>46356</v>
      </c>
      <c r="F134" s="7" t="str">
        <f aca="false">CHOOSE(WEEKDAY(E134,2),"Mo","Di","Mi","Do","Fr","Sa","So")</f>
        <v>Mo</v>
      </c>
      <c r="G134" s="7" t="s">
        <v>44</v>
      </c>
      <c r="H134" s="7" t="s">
        <v>11</v>
      </c>
      <c r="I134" s="7" t="s">
        <v>45</v>
      </c>
      <c r="J134" s="7" t="s">
        <v>98</v>
      </c>
      <c r="K134" s="7" t="s">
        <v>83</v>
      </c>
      <c r="L134" s="7"/>
      <c r="M134" s="7" t="str">
        <f aca="true">IF(H134="erledigt","",IF(E134&lt;TODAY(),"ÜBERFÄLLIG",IF(E134-TODAY()&lt;=2,"bald fällig","")))</f>
        <v/>
      </c>
    </row>
    <row r="135" customFormat="false" ht="23.85" hidden="false" customHeight="false" outlineLevel="0" collapsed="false">
      <c r="A135" s="7" t="n">
        <v>134</v>
      </c>
      <c r="B135" s="7" t="s">
        <v>18</v>
      </c>
      <c r="C135" s="7" t="s">
        <v>289</v>
      </c>
      <c r="D135" s="8" t="n">
        <v>46342</v>
      </c>
      <c r="E135" s="8" t="n">
        <v>46356</v>
      </c>
      <c r="F135" s="7" t="str">
        <f aca="false">CHOOSE(WEEKDAY(E135,2),"Mo","Di","Mi","Do","Fr","Sa","So")</f>
        <v>Mo</v>
      </c>
      <c r="G135" s="7" t="s">
        <v>290</v>
      </c>
      <c r="H135" s="7" t="s">
        <v>11</v>
      </c>
      <c r="I135" s="7" t="s">
        <v>45</v>
      </c>
      <c r="J135" s="7" t="s">
        <v>291</v>
      </c>
      <c r="K135" s="7" t="s">
        <v>83</v>
      </c>
      <c r="L135" s="7" t="s">
        <v>292</v>
      </c>
      <c r="M135" s="7" t="str">
        <f aca="true">IF(H135="erledigt","",IF(E135&lt;TODAY(),"ÜBERFÄLLIG",IF(E135-TODAY()&lt;=2,"bald fällig","")))</f>
        <v/>
      </c>
    </row>
    <row r="136" customFormat="false" ht="15" hidden="false" customHeight="false" outlineLevel="0" collapsed="false">
      <c r="A136" s="7" t="n">
        <v>135</v>
      </c>
      <c r="B136" s="7" t="s">
        <v>18</v>
      </c>
      <c r="C136" s="7" t="s">
        <v>293</v>
      </c>
      <c r="D136" s="8" t="n">
        <v>46342</v>
      </c>
      <c r="E136" s="8" t="n">
        <v>46356</v>
      </c>
      <c r="F136" s="7" t="str">
        <f aca="false">CHOOSE(WEEKDAY(E136,2),"Mo","Di","Mi","Do","Fr","Sa","So")</f>
        <v>Mo</v>
      </c>
      <c r="G136" s="7" t="s">
        <v>44</v>
      </c>
      <c r="H136" s="7" t="s">
        <v>11</v>
      </c>
      <c r="I136" s="7" t="s">
        <v>45</v>
      </c>
      <c r="J136" s="7" t="s">
        <v>294</v>
      </c>
      <c r="K136" s="7" t="s">
        <v>83</v>
      </c>
      <c r="L136" s="7"/>
      <c r="M136" s="7" t="str">
        <f aca="true">IF(H136="erledigt","",IF(E136&lt;TODAY(),"ÜBERFÄLLIG",IF(E136-TODAY()&lt;=2,"bald fällig","")))</f>
        <v/>
      </c>
    </row>
    <row r="137" customFormat="false" ht="15" hidden="false" customHeight="false" outlineLevel="0" collapsed="false">
      <c r="A137" s="7" t="n">
        <v>136</v>
      </c>
      <c r="B137" s="7" t="s">
        <v>21</v>
      </c>
      <c r="C137" s="7" t="s">
        <v>295</v>
      </c>
      <c r="D137" s="8" t="n">
        <v>46342</v>
      </c>
      <c r="E137" s="8" t="n">
        <v>46356</v>
      </c>
      <c r="F137" s="7" t="str">
        <f aca="false">CHOOSE(WEEKDAY(E137,2),"Mo","Di","Mi","Do","Fr","Sa","So")</f>
        <v>Mo</v>
      </c>
      <c r="G137" s="7" t="s">
        <v>296</v>
      </c>
      <c r="H137" s="7" t="s">
        <v>11</v>
      </c>
      <c r="I137" s="7" t="s">
        <v>45</v>
      </c>
      <c r="J137" s="7" t="s">
        <v>297</v>
      </c>
      <c r="K137" s="7" t="s">
        <v>46</v>
      </c>
      <c r="L137" s="7"/>
      <c r="M137" s="7" t="str">
        <f aca="true">IF(H137="erledigt","",IF(E137&lt;TODAY(),"ÜBERFÄLLIG",IF(E137-TODAY()&lt;=2,"bald fällig","")))</f>
        <v/>
      </c>
    </row>
    <row r="138" customFormat="false" ht="15" hidden="false" customHeight="false" outlineLevel="0" collapsed="false">
      <c r="A138" s="7" t="n">
        <v>137</v>
      </c>
      <c r="B138" s="7" t="s">
        <v>22</v>
      </c>
      <c r="C138" s="7" t="s">
        <v>298</v>
      </c>
      <c r="D138" s="8" t="n">
        <v>46357</v>
      </c>
      <c r="E138" s="8" t="n">
        <v>46357</v>
      </c>
      <c r="F138" s="7" t="str">
        <f aca="false">CHOOSE(WEEKDAY(E138,2),"Mo","Di","Mi","Do","Fr","Sa","So")</f>
        <v>Di</v>
      </c>
      <c r="G138" s="7" t="s">
        <v>44</v>
      </c>
      <c r="H138" s="7" t="s">
        <v>11</v>
      </c>
      <c r="I138" s="7" t="s">
        <v>60</v>
      </c>
      <c r="J138" s="7"/>
      <c r="K138" s="7" t="s">
        <v>46</v>
      </c>
      <c r="L138" s="7"/>
      <c r="M138" s="7" t="str">
        <f aca="true">IF(H138="erledigt","",IF(E138&lt;TODAY(),"ÜBERFÄLLIG",IF(E138-TODAY()&lt;=2,"bald fällig","")))</f>
        <v/>
      </c>
    </row>
    <row r="139" customFormat="false" ht="15" hidden="false" customHeight="false" outlineLevel="0" collapsed="false">
      <c r="A139" s="7" t="n">
        <v>138</v>
      </c>
      <c r="B139" s="7" t="s">
        <v>19</v>
      </c>
      <c r="C139" s="7" t="s">
        <v>299</v>
      </c>
      <c r="D139" s="8" t="n">
        <v>46362</v>
      </c>
      <c r="E139" s="8" t="n">
        <v>46362</v>
      </c>
      <c r="F139" s="7" t="str">
        <f aca="false">CHOOSE(WEEKDAY(E139,2),"Mo","Di","Mi","Do","Fr","Sa","So")</f>
        <v>So</v>
      </c>
      <c r="G139" s="7" t="s">
        <v>44</v>
      </c>
      <c r="H139" s="7" t="s">
        <v>11</v>
      </c>
      <c r="I139" s="7" t="s">
        <v>60</v>
      </c>
      <c r="J139" s="7" t="s">
        <v>300</v>
      </c>
      <c r="K139" s="7" t="s">
        <v>46</v>
      </c>
      <c r="L139" s="7"/>
      <c r="M139" s="7" t="str">
        <f aca="true">IF(H139="erledigt","",IF(E139&lt;TODAY(),"ÜBERFÄLLIG",IF(E139-TODAY()&lt;=2,"bald fällig","")))</f>
        <v/>
      </c>
    </row>
    <row r="140" customFormat="false" ht="15" hidden="false" customHeight="false" outlineLevel="0" collapsed="false">
      <c r="A140" s="7" t="n">
        <v>139</v>
      </c>
      <c r="B140" s="7" t="s">
        <v>19</v>
      </c>
      <c r="C140" s="7" t="s">
        <v>301</v>
      </c>
      <c r="D140" s="8" t="n">
        <v>46369</v>
      </c>
      <c r="E140" s="8" t="n">
        <v>46369</v>
      </c>
      <c r="F140" s="7" t="str">
        <f aca="false">CHOOSE(WEEKDAY(E140,2),"Mo","Di","Mi","Do","Fr","Sa","So")</f>
        <v>So</v>
      </c>
      <c r="G140" s="7" t="s">
        <v>44</v>
      </c>
      <c r="H140" s="7" t="s">
        <v>11</v>
      </c>
      <c r="I140" s="7" t="s">
        <v>60</v>
      </c>
      <c r="J140" s="7" t="s">
        <v>300</v>
      </c>
      <c r="K140" s="7" t="s">
        <v>46</v>
      </c>
      <c r="L140" s="7"/>
      <c r="M140" s="7" t="str">
        <f aca="true">IF(H140="erledigt","",IF(E140&lt;TODAY(),"ÜBERFÄLLIG",IF(E140-TODAY()&lt;=2,"bald fällig","")))</f>
        <v/>
      </c>
    </row>
    <row r="141" customFormat="false" ht="15" hidden="false" customHeight="false" outlineLevel="0" collapsed="false">
      <c r="A141" s="7" t="n">
        <v>140</v>
      </c>
      <c r="B141" s="7" t="s">
        <v>22</v>
      </c>
      <c r="C141" s="7" t="s">
        <v>302</v>
      </c>
      <c r="D141" s="8" t="n">
        <v>46370</v>
      </c>
      <c r="E141" s="8" t="n">
        <v>46374</v>
      </c>
      <c r="F141" s="7" t="str">
        <f aca="false">CHOOSE(WEEKDAY(E141,2),"Mo","Di","Mi","Do","Fr","Sa","So")</f>
        <v>Fr</v>
      </c>
      <c r="G141" s="7" t="s">
        <v>44</v>
      </c>
      <c r="H141" s="7" t="s">
        <v>11</v>
      </c>
      <c r="I141" s="7" t="s">
        <v>60</v>
      </c>
      <c r="J141" s="7"/>
      <c r="K141" s="7" t="s">
        <v>46</v>
      </c>
      <c r="L141" s="7"/>
      <c r="M141" s="7" t="str">
        <f aca="true">IF(H141="erledigt","",IF(E141&lt;TODAY(),"ÜBERFÄLLIG",IF(E141-TODAY()&lt;=2,"bald fällig","")))</f>
        <v/>
      </c>
    </row>
    <row r="142" customFormat="false" ht="15" hidden="false" customHeight="false" outlineLevel="0" collapsed="false">
      <c r="A142" s="7" t="n">
        <v>141</v>
      </c>
      <c r="B142" s="7" t="s">
        <v>17</v>
      </c>
      <c r="C142" s="7" t="s">
        <v>303</v>
      </c>
      <c r="D142" s="8" t="n">
        <v>46376</v>
      </c>
      <c r="E142" s="8" t="n">
        <v>46376</v>
      </c>
      <c r="F142" s="7" t="str">
        <f aca="false">CHOOSE(WEEKDAY(E142,2),"Mo","Di","Mi","Do","Fr","Sa","So")</f>
        <v>So</v>
      </c>
      <c r="G142" s="7" t="s">
        <v>44</v>
      </c>
      <c r="H142" s="7" t="s">
        <v>11</v>
      </c>
      <c r="I142" s="7" t="s">
        <v>60</v>
      </c>
      <c r="J142" s="7" t="s">
        <v>304</v>
      </c>
      <c r="K142" s="7" t="s">
        <v>46</v>
      </c>
      <c r="L142" s="7"/>
      <c r="M142" s="7" t="str">
        <f aca="true">IF(H142="erledigt","",IF(E142&lt;TODAY(),"ÜBERFÄLLIG",IF(E142-TODAY()&lt;=2,"bald fällig","")))</f>
        <v/>
      </c>
    </row>
    <row r="143" customFormat="false" ht="15" hidden="false" customHeight="false" outlineLevel="0" collapsed="false">
      <c r="A143" s="7" t="n">
        <v>142</v>
      </c>
      <c r="B143" s="7" t="s">
        <v>19</v>
      </c>
      <c r="C143" s="7" t="s">
        <v>305</v>
      </c>
      <c r="D143" s="8" t="n">
        <v>46376</v>
      </c>
      <c r="E143" s="8" t="n">
        <v>46376</v>
      </c>
      <c r="F143" s="7" t="str">
        <f aca="false">CHOOSE(WEEKDAY(E143,2),"Mo","Di","Mi","Do","Fr","Sa","So")</f>
        <v>So</v>
      </c>
      <c r="G143" s="7" t="s">
        <v>44</v>
      </c>
      <c r="H143" s="7" t="s">
        <v>11</v>
      </c>
      <c r="I143" s="7" t="s">
        <v>60</v>
      </c>
      <c r="J143" s="7" t="s">
        <v>306</v>
      </c>
      <c r="K143" s="7" t="s">
        <v>46</v>
      </c>
      <c r="L143" s="7"/>
      <c r="M143" s="7" t="str">
        <f aca="true">IF(H143="erledigt","",IF(E143&lt;TODAY(),"ÜBERFÄLLIG",IF(E143-TODAY()&lt;=2,"bald fällig","")))</f>
        <v/>
      </c>
    </row>
    <row r="144" customFormat="false" ht="15" hidden="false" customHeight="false" outlineLevel="0" collapsed="false">
      <c r="A144" s="7" t="n">
        <v>143</v>
      </c>
      <c r="B144" s="7" t="s">
        <v>22</v>
      </c>
      <c r="C144" s="7" t="s">
        <v>307</v>
      </c>
      <c r="D144" s="8" t="n">
        <v>46362</v>
      </c>
      <c r="E144" s="8" t="n">
        <v>46376</v>
      </c>
      <c r="F144" s="7" t="str">
        <f aca="false">CHOOSE(WEEKDAY(E144,2),"Mo","Di","Mi","Do","Fr","Sa","So")</f>
        <v>So</v>
      </c>
      <c r="G144" s="7" t="s">
        <v>71</v>
      </c>
      <c r="H144" s="7" t="s">
        <v>11</v>
      </c>
      <c r="I144" s="7" t="s">
        <v>60</v>
      </c>
      <c r="J144" s="7"/>
      <c r="K144" s="7" t="s">
        <v>46</v>
      </c>
      <c r="L144" s="7"/>
      <c r="M144" s="7" t="str">
        <f aca="true">IF(H144="erledigt","",IF(E144&lt;TODAY(),"ÜBERFÄLLIG",IF(E144-TODAY()&lt;=2,"bald fällig","")))</f>
        <v/>
      </c>
    </row>
    <row r="145" customFormat="false" ht="15" hidden="false" customHeight="false" outlineLevel="0" collapsed="false">
      <c r="A145" s="7" t="n">
        <v>144</v>
      </c>
      <c r="B145" s="7" t="s">
        <v>17</v>
      </c>
      <c r="C145" s="7" t="s">
        <v>308</v>
      </c>
      <c r="D145" s="8" t="n">
        <v>46362</v>
      </c>
      <c r="E145" s="8" t="n">
        <v>46376</v>
      </c>
      <c r="F145" s="7" t="str">
        <f aca="false">CHOOSE(WEEKDAY(E145,2),"Mo","Di","Mi","Do","Fr","Sa","So")</f>
        <v>So</v>
      </c>
      <c r="G145" s="7" t="s">
        <v>44</v>
      </c>
      <c r="H145" s="7" t="s">
        <v>11</v>
      </c>
      <c r="I145" s="7" t="s">
        <v>45</v>
      </c>
      <c r="J145" s="7"/>
      <c r="K145" s="7" t="s">
        <v>83</v>
      </c>
      <c r="L145" s="7"/>
      <c r="M145" s="7" t="str">
        <f aca="true">IF(H145="erledigt","",IF(E145&lt;TODAY(),"ÜBERFÄLLIG",IF(E145-TODAY()&lt;=2,"bald fällig","")))</f>
        <v/>
      </c>
    </row>
    <row r="146" customFormat="false" ht="15" hidden="false" customHeight="false" outlineLevel="0" collapsed="false">
      <c r="A146" s="7" t="n">
        <v>145</v>
      </c>
      <c r="B146" s="7" t="s">
        <v>18</v>
      </c>
      <c r="C146" s="7" t="s">
        <v>309</v>
      </c>
      <c r="D146" s="8" t="n">
        <v>46357</v>
      </c>
      <c r="E146" s="8" t="n">
        <v>46376</v>
      </c>
      <c r="F146" s="7" t="str">
        <f aca="false">CHOOSE(WEEKDAY(E146,2),"Mo","Di","Mi","Do","Fr","Sa","So")</f>
        <v>So</v>
      </c>
      <c r="G146" s="7" t="s">
        <v>44</v>
      </c>
      <c r="H146" s="7" t="s">
        <v>11</v>
      </c>
      <c r="I146" s="7" t="s">
        <v>197</v>
      </c>
      <c r="J146" s="7" t="s">
        <v>310</v>
      </c>
      <c r="K146" s="7" t="s">
        <v>83</v>
      </c>
      <c r="L146" s="7"/>
      <c r="M146" s="7" t="str">
        <f aca="true">IF(H146="erledigt","",IF(E146&lt;TODAY(),"ÜBERFÄLLIG",IF(E146-TODAY()&lt;=2,"bald fällig","")))</f>
        <v/>
      </c>
    </row>
    <row r="147" customFormat="false" ht="15" hidden="false" customHeight="false" outlineLevel="0" collapsed="false">
      <c r="A147" s="7" t="n">
        <v>146</v>
      </c>
      <c r="B147" s="7" t="s">
        <v>17</v>
      </c>
      <c r="C147" s="7" t="s">
        <v>311</v>
      </c>
      <c r="D147" s="8" t="n">
        <v>46357</v>
      </c>
      <c r="E147" s="8" t="n">
        <v>46380</v>
      </c>
      <c r="F147" s="7" t="str">
        <f aca="false">CHOOSE(WEEKDAY(E147,2),"Mo","Di","Mi","Do","Fr","Sa","So")</f>
        <v>Do</v>
      </c>
      <c r="G147" s="7" t="s">
        <v>44</v>
      </c>
      <c r="H147" s="7" t="s">
        <v>11</v>
      </c>
      <c r="I147" s="7" t="s">
        <v>60</v>
      </c>
      <c r="J147" s="7" t="s">
        <v>312</v>
      </c>
      <c r="K147" s="7" t="s">
        <v>83</v>
      </c>
      <c r="L147" s="7" t="s">
        <v>313</v>
      </c>
      <c r="M147" s="7" t="str">
        <f aca="true">IF(H147="erledigt","",IF(E147&lt;TODAY(),"ÜBERFÄLLIG",IF(E147-TODAY()&lt;=2,"bald fällig","")))</f>
        <v/>
      </c>
    </row>
    <row r="148" customFormat="false" ht="15" hidden="false" customHeight="false" outlineLevel="0" collapsed="false">
      <c r="A148" s="7" t="n">
        <v>147</v>
      </c>
      <c r="B148" s="7" t="s">
        <v>19</v>
      </c>
      <c r="C148" s="7" t="s">
        <v>314</v>
      </c>
      <c r="D148" s="8" t="n">
        <v>46380</v>
      </c>
      <c r="E148" s="8" t="n">
        <v>46380</v>
      </c>
      <c r="F148" s="7" t="str">
        <f aca="false">CHOOSE(WEEKDAY(E148,2),"Mo","Di","Mi","Do","Fr","Sa","So")</f>
        <v>Do</v>
      </c>
      <c r="G148" s="7" t="s">
        <v>44</v>
      </c>
      <c r="H148" s="7" t="s">
        <v>11</v>
      </c>
      <c r="I148" s="7" t="s">
        <v>60</v>
      </c>
      <c r="J148" s="7" t="s">
        <v>300</v>
      </c>
      <c r="K148" s="7" t="s">
        <v>46</v>
      </c>
      <c r="L148" s="7"/>
      <c r="M148" s="7" t="str">
        <f aca="true">IF(H148="erledigt","",IF(E148&lt;TODAY(),"ÜBERFÄLLIG",IF(E148-TODAY()&lt;=2,"bald fällig","")))</f>
        <v/>
      </c>
    </row>
    <row r="149" customFormat="false" ht="23.85" hidden="false" customHeight="false" outlineLevel="0" collapsed="false">
      <c r="A149" s="7" t="n">
        <v>148</v>
      </c>
      <c r="B149" s="7" t="s">
        <v>22</v>
      </c>
      <c r="C149" s="7" t="s">
        <v>315</v>
      </c>
      <c r="D149" s="8" t="n">
        <v>46357</v>
      </c>
      <c r="E149" s="8" t="n">
        <v>46380</v>
      </c>
      <c r="F149" s="7" t="str">
        <f aca="false">CHOOSE(WEEKDAY(E149,2),"Mo","Di","Mi","Do","Fr","Sa","So")</f>
        <v>Do</v>
      </c>
      <c r="G149" s="7" t="s">
        <v>44</v>
      </c>
      <c r="H149" s="7" t="s">
        <v>11</v>
      </c>
      <c r="I149" s="7" t="s">
        <v>60</v>
      </c>
      <c r="J149" s="7"/>
      <c r="K149" s="7" t="s">
        <v>83</v>
      </c>
      <c r="L149" s="7" t="s">
        <v>313</v>
      </c>
      <c r="M149" s="7" t="str">
        <f aca="true">IF(H149="erledigt","",IF(E149&lt;TODAY(),"ÜBERFÄLLIG",IF(E149-TODAY()&lt;=2,"bald fällig","")))</f>
        <v/>
      </c>
    </row>
    <row r="150" customFormat="false" ht="15" hidden="false" customHeight="false" outlineLevel="0" collapsed="false">
      <c r="A150" s="7" t="n">
        <v>149</v>
      </c>
      <c r="B150" s="7" t="s">
        <v>22</v>
      </c>
      <c r="C150" s="7" t="s">
        <v>316</v>
      </c>
      <c r="D150" s="8" t="n">
        <v>46380</v>
      </c>
      <c r="E150" s="8" t="n">
        <v>46380</v>
      </c>
      <c r="F150" s="7" t="str">
        <f aca="false">CHOOSE(WEEKDAY(E150,2),"Mo","Di","Mi","Do","Fr","Sa","So")</f>
        <v>Do</v>
      </c>
      <c r="G150" s="7" t="s">
        <v>71</v>
      </c>
      <c r="H150" s="7" t="s">
        <v>11</v>
      </c>
      <c r="I150" s="7" t="s">
        <v>60</v>
      </c>
      <c r="J150" s="7"/>
      <c r="K150" s="7" t="s">
        <v>46</v>
      </c>
      <c r="L150" s="7"/>
      <c r="M150" s="7" t="str">
        <f aca="true">IF(H150="erledigt","",IF(E150&lt;TODAY(),"ÜBERFÄLLIG",IF(E150-TODAY()&lt;=2,"bald fällig","")))</f>
        <v/>
      </c>
    </row>
    <row r="151" customFormat="false" ht="15" hidden="false" customHeight="false" outlineLevel="0" collapsed="false">
      <c r="A151" s="7" t="n">
        <v>150</v>
      </c>
      <c r="B151" s="7" t="s">
        <v>17</v>
      </c>
      <c r="C151" s="7" t="s">
        <v>317</v>
      </c>
      <c r="D151" s="8" t="n">
        <v>46380</v>
      </c>
      <c r="E151" s="8" t="n">
        <v>46380</v>
      </c>
      <c r="F151" s="7" t="str">
        <f aca="false">CHOOSE(WEEKDAY(E151,2),"Mo","Di","Mi","Do","Fr","Sa","So")</f>
        <v>Do</v>
      </c>
      <c r="G151" s="7" t="s">
        <v>44</v>
      </c>
      <c r="H151" s="7" t="s">
        <v>11</v>
      </c>
      <c r="I151" s="7" t="s">
        <v>45</v>
      </c>
      <c r="J151" s="7"/>
      <c r="K151" s="7" t="s">
        <v>46</v>
      </c>
      <c r="L151" s="7"/>
      <c r="M151" s="7" t="str">
        <f aca="true">IF(H151="erledigt","",IF(E151&lt;TODAY(),"ÜBERFÄLLIG",IF(E151-TODAY()&lt;=2,"bald fällig","")))</f>
        <v/>
      </c>
    </row>
    <row r="152" customFormat="false" ht="15" hidden="false" customHeight="false" outlineLevel="0" collapsed="false">
      <c r="A152" s="7" t="n">
        <v>151</v>
      </c>
      <c r="B152" s="7" t="s">
        <v>21</v>
      </c>
      <c r="C152" s="7" t="s">
        <v>318</v>
      </c>
      <c r="D152" s="8" t="n">
        <v>46355</v>
      </c>
      <c r="E152" s="8" t="n">
        <v>46380</v>
      </c>
      <c r="F152" s="7" t="str">
        <f aca="false">CHOOSE(WEEKDAY(E152,2),"Mo","Di","Mi","Do","Fr","Sa","So")</f>
        <v>Do</v>
      </c>
      <c r="G152" s="7" t="s">
        <v>44</v>
      </c>
      <c r="H152" s="7" t="s">
        <v>11</v>
      </c>
      <c r="I152" s="7" t="s">
        <v>197</v>
      </c>
      <c r="J152" s="7"/>
      <c r="K152" s="7" t="s">
        <v>83</v>
      </c>
      <c r="L152" s="7"/>
      <c r="M152" s="7" t="str">
        <f aca="true">IF(H152="erledigt","",IF(E152&lt;TODAY(),"ÜBERFÄLLIG",IF(E152-TODAY()&lt;=2,"bald fällig","")))</f>
        <v/>
      </c>
    </row>
    <row r="153" customFormat="false" ht="15" hidden="false" customHeight="false" outlineLevel="0" collapsed="false">
      <c r="A153" s="7" t="n">
        <v>152</v>
      </c>
      <c r="B153" s="7" t="s">
        <v>16</v>
      </c>
      <c r="C153" s="7" t="s">
        <v>319</v>
      </c>
      <c r="D153" s="8" t="n">
        <v>46381</v>
      </c>
      <c r="E153" s="8" t="n">
        <v>46383</v>
      </c>
      <c r="F153" s="7" t="str">
        <f aca="false">CHOOSE(WEEKDAY(E153,2),"Mo","Di","Mi","Do","Fr","Sa","So")</f>
        <v>So</v>
      </c>
      <c r="G153" s="7" t="s">
        <v>44</v>
      </c>
      <c r="H153" s="7" t="s">
        <v>11</v>
      </c>
      <c r="I153" s="7" t="s">
        <v>45</v>
      </c>
      <c r="J153" s="7"/>
      <c r="K153" s="7" t="s">
        <v>83</v>
      </c>
      <c r="L153" s="7"/>
      <c r="M153" s="7" t="str">
        <f aca="true">IF(H153="erledigt","",IF(E153&lt;TODAY(),"ÜBERFÄLLIG",IF(E153-TODAY()&lt;=2,"bald fällig","")))</f>
        <v/>
      </c>
    </row>
    <row r="154" customFormat="false" ht="15" hidden="false" customHeight="false" outlineLevel="0" collapsed="false">
      <c r="A154" s="7" t="n">
        <v>153</v>
      </c>
      <c r="B154" s="7" t="s">
        <v>18</v>
      </c>
      <c r="C154" s="7" t="s">
        <v>320</v>
      </c>
      <c r="D154" s="8" t="n">
        <v>46380</v>
      </c>
      <c r="E154" s="8" t="n">
        <v>46384</v>
      </c>
      <c r="F154" s="7" t="str">
        <f aca="false">CHOOSE(WEEKDAY(E154,2),"Mo","Di","Mi","Do","Fr","Sa","So")</f>
        <v>Mo</v>
      </c>
      <c r="G154" s="7" t="s">
        <v>44</v>
      </c>
      <c r="H154" s="7" t="s">
        <v>11</v>
      </c>
      <c r="I154" s="7" t="s">
        <v>197</v>
      </c>
      <c r="J154" s="7"/>
      <c r="K154" s="7" t="s">
        <v>83</v>
      </c>
      <c r="L154" s="7"/>
      <c r="M154" s="7" t="str">
        <f aca="true">IF(H154="erledigt","",IF(E154&lt;TODAY(),"ÜBERFÄLLIG",IF(E154-TODAY()&lt;=2,"bald fällig","")))</f>
        <v/>
      </c>
    </row>
    <row r="155" customFormat="false" ht="15" hidden="false" customHeight="false" outlineLevel="0" collapsed="false">
      <c r="A155" s="7" t="n">
        <v>154</v>
      </c>
      <c r="B155" s="7" t="s">
        <v>19</v>
      </c>
      <c r="C155" s="7" t="s">
        <v>321</v>
      </c>
      <c r="D155" s="8" t="n">
        <v>46356</v>
      </c>
      <c r="E155" s="8" t="n">
        <v>46387</v>
      </c>
      <c r="F155" s="7" t="str">
        <f aca="false">CHOOSE(WEEKDAY(E155,2),"Mo","Di","Mi","Do","Fr","Sa","So")</f>
        <v>Do</v>
      </c>
      <c r="G155" s="7" t="s">
        <v>44</v>
      </c>
      <c r="H155" s="7" t="s">
        <v>11</v>
      </c>
      <c r="I155" s="7" t="s">
        <v>60</v>
      </c>
      <c r="J155" s="7" t="s">
        <v>322</v>
      </c>
      <c r="K155" s="7" t="s">
        <v>83</v>
      </c>
      <c r="L155" s="7"/>
      <c r="M155" s="7" t="str">
        <f aca="true">IF(H155="erledigt","",IF(E155&lt;TODAY(),"ÜBERFÄLLIG",IF(E155-TODAY()&lt;=2,"bald fällig","")))</f>
        <v/>
      </c>
    </row>
    <row r="156" customFormat="false" ht="15" hidden="false" customHeight="false" outlineLevel="0" collapsed="false">
      <c r="A156" s="7" t="n">
        <v>155</v>
      </c>
      <c r="B156" s="7" t="s">
        <v>22</v>
      </c>
      <c r="C156" s="7" t="s">
        <v>323</v>
      </c>
      <c r="D156" s="8" t="n">
        <v>46381</v>
      </c>
      <c r="E156" s="8" t="n">
        <v>46387</v>
      </c>
      <c r="F156" s="7" t="str">
        <f aca="false">CHOOSE(WEEKDAY(E156,2),"Mo","Di","Mi","Do","Fr","Sa","So")</f>
        <v>Do</v>
      </c>
      <c r="G156" s="7" t="s">
        <v>44</v>
      </c>
      <c r="H156" s="7" t="s">
        <v>11</v>
      </c>
      <c r="I156" s="7" t="s">
        <v>45</v>
      </c>
      <c r="J156" s="7"/>
      <c r="K156" s="7" t="s">
        <v>83</v>
      </c>
      <c r="L156" s="7"/>
      <c r="M156" s="7" t="str">
        <f aca="true">IF(H156="erledigt","",IF(E156&lt;TODAY(),"ÜBERFÄLLIG",IF(E156-TODAY()&lt;=2,"bald fällig","")))</f>
        <v/>
      </c>
    </row>
    <row r="157" customFormat="false" ht="15" hidden="false" customHeight="false" outlineLevel="0" collapsed="false">
      <c r="A157" s="7" t="n">
        <v>156</v>
      </c>
      <c r="B157" s="7" t="s">
        <v>13</v>
      </c>
      <c r="C157" s="7" t="s">
        <v>324</v>
      </c>
      <c r="D157" s="8" t="n">
        <v>46383</v>
      </c>
      <c r="E157" s="8" t="n">
        <v>46387</v>
      </c>
      <c r="F157" s="7" t="str">
        <f aca="false">CHOOSE(WEEKDAY(E157,2),"Mo","Di","Mi","Do","Fr","Sa","So")</f>
        <v>Do</v>
      </c>
      <c r="G157" s="7" t="s">
        <v>68</v>
      </c>
      <c r="H157" s="7" t="s">
        <v>11</v>
      </c>
      <c r="I157" s="7" t="s">
        <v>197</v>
      </c>
      <c r="J157" s="7"/>
      <c r="K157" s="7" t="s">
        <v>83</v>
      </c>
      <c r="L157" s="7"/>
      <c r="M157" s="7" t="str">
        <f aca="true">IF(H157="erledigt","",IF(E157&lt;TODAY(),"ÜBERFÄLLIG",IF(E157-TODAY()&lt;=2,"bald fällig","")))</f>
        <v/>
      </c>
    </row>
  </sheetData>
  <autoFilter ref="A1:M157"/>
  <conditionalFormatting sqref="A2:M157">
    <cfRule type="expression" priority="2" aboveAverage="0" equalAverage="0" bottom="0" percent="0" rank="0" text="" dxfId="9">
      <formula>$H2="erledigt"</formula>
    </cfRule>
  </conditionalFormatting>
  <conditionalFormatting sqref="M2:M157">
    <cfRule type="expression" priority="3" aboveAverage="0" equalAverage="0" bottom="0" percent="0" rank="0" text="" dxfId="10">
      <formula>$M2="ÜBERFÄLLIG"</formula>
    </cfRule>
    <cfRule type="expression" priority="4" aboveAverage="0" equalAverage="0" bottom="0" percent="0" rank="0" text="" dxfId="11">
      <formula>$M2="bald fällig"</formula>
    </cfRule>
  </conditionalFormatting>
  <conditionalFormatting sqref="K2:K157">
    <cfRule type="expression" priority="5" aboveAverage="0" equalAverage="0" bottom="0" percent="0" rank="0" text="" dxfId="12">
      <formula>ISNUMBER(SEARCH("❓",$K2))</formula>
    </cfRule>
  </conditionalFormatting>
  <conditionalFormatting sqref="I2:I157">
    <cfRule type="expression" priority="6" aboveAverage="0" equalAverage="0" bottom="0" percent="0" rank="0" text="" dxfId="13">
      <formula>$I2="hoch"</formula>
    </cfRule>
  </conditionalFormatting>
  <dataValidations count="2">
    <dataValidation allowBlank="false" errorStyle="stop" operator="between" showDropDown="false" showErrorMessage="false" showInputMessage="false" sqref="H2:H157" type="list">
      <formula1>"offen,in Arbeit,erledigt,wartet,verschoben"</formula1>
      <formula2>0</formula2>
    </dataValidation>
    <dataValidation allowBlank="false" errorStyle="stop" operator="between" showDropDown="false" showErrorMessage="false" showInputMessage="false" sqref="I2:I157" type="list">
      <formula1>"hoch,mittel,niedrig"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4" t="s">
        <v>325</v>
      </c>
      <c r="B1" s="4" t="s">
        <v>35</v>
      </c>
      <c r="C1" s="4" t="s">
        <v>326</v>
      </c>
      <c r="D1" s="4" t="s">
        <v>327</v>
      </c>
      <c r="E1" s="4" t="s">
        <v>328</v>
      </c>
    </row>
    <row r="2" customFormat="false" ht="15" hidden="false" customHeight="false" outlineLevel="0" collapsed="false">
      <c r="A2" s="9" t="n">
        <v>46321</v>
      </c>
      <c r="B2" s="10" t="str">
        <f aca="false">CHOOSE(WEEKDAY(A2,2),"Mo","Di","Mi","Do","Fr","Sa","So")</f>
        <v>Mo</v>
      </c>
      <c r="C2" s="10" t="s">
        <v>329</v>
      </c>
      <c r="D2" s="10" t="s">
        <v>32</v>
      </c>
      <c r="E2" s="11" t="n">
        <f aca="true">A2-TODAY()</f>
        <v>2</v>
      </c>
    </row>
    <row r="3" customFormat="false" ht="15" hidden="false" customHeight="false" outlineLevel="0" collapsed="false">
      <c r="A3" s="9" t="n">
        <v>46324</v>
      </c>
      <c r="B3" s="10" t="str">
        <f aca="false">CHOOSE(WEEKDAY(A3,2),"Mo","Di","Mi","Do","Fr","Sa","So")</f>
        <v>Do</v>
      </c>
      <c r="C3" s="10" t="s">
        <v>330</v>
      </c>
      <c r="D3" s="10" t="s">
        <v>331</v>
      </c>
      <c r="E3" s="11" t="n">
        <f aca="true">A3-TODAY()</f>
        <v>5</v>
      </c>
    </row>
    <row r="4" customFormat="false" ht="15" hidden="false" customHeight="false" outlineLevel="0" collapsed="false">
      <c r="A4" s="9" t="n">
        <v>46325</v>
      </c>
      <c r="B4" s="10" t="str">
        <f aca="false">CHOOSE(WEEKDAY(A4,2),"Mo","Di","Mi","Do","Fr","Sa","So")</f>
        <v>Fr</v>
      </c>
      <c r="C4" s="10" t="s">
        <v>332</v>
      </c>
      <c r="D4" s="10" t="s">
        <v>32</v>
      </c>
      <c r="E4" s="11" t="n">
        <f aca="true">A4-TODAY()</f>
        <v>6</v>
      </c>
    </row>
    <row r="5" customFormat="false" ht="15" hidden="false" customHeight="false" outlineLevel="0" collapsed="false">
      <c r="A5" s="9" t="n">
        <v>46341</v>
      </c>
      <c r="B5" s="10" t="str">
        <f aca="false">CHOOSE(WEEKDAY(A5,2),"Mo","Di","Mi","Do","Fr","Sa","So")</f>
        <v>So</v>
      </c>
      <c r="C5" s="10" t="s">
        <v>333</v>
      </c>
      <c r="D5" s="10" t="s">
        <v>331</v>
      </c>
      <c r="E5" s="11" t="n">
        <f aca="true">A5-TODAY()</f>
        <v>22</v>
      </c>
    </row>
    <row r="6" customFormat="false" ht="15" hidden="false" customHeight="false" outlineLevel="0" collapsed="false">
      <c r="A6" s="9" t="n">
        <v>46342</v>
      </c>
      <c r="B6" s="10" t="str">
        <f aca="false">CHOOSE(WEEKDAY(A6,2),"Mo","Di","Mi","Do","Fr","Sa","So")</f>
        <v>Mo</v>
      </c>
      <c r="C6" s="10" t="s">
        <v>334</v>
      </c>
      <c r="D6" s="10" t="s">
        <v>335</v>
      </c>
      <c r="E6" s="11" t="n">
        <f aca="true">A6-TODAY()</f>
        <v>23</v>
      </c>
    </row>
    <row r="7" customFormat="false" ht="15" hidden="false" customHeight="false" outlineLevel="0" collapsed="false">
      <c r="A7" s="9" t="n">
        <v>46355</v>
      </c>
      <c r="B7" s="10" t="str">
        <f aca="false">CHOOSE(WEEKDAY(A7,2),"Mo","Di","Mi","Do","Fr","Sa","So")</f>
        <v>So</v>
      </c>
      <c r="C7" s="10" t="s">
        <v>336</v>
      </c>
      <c r="D7" s="10" t="s">
        <v>331</v>
      </c>
      <c r="E7" s="11" t="n">
        <f aca="true">A7-TODAY()</f>
        <v>36</v>
      </c>
    </row>
    <row r="8" customFormat="false" ht="15" hidden="false" customHeight="false" outlineLevel="0" collapsed="false">
      <c r="A8" s="9" t="n">
        <v>46356</v>
      </c>
      <c r="B8" s="10" t="str">
        <f aca="false">CHOOSE(WEEKDAY(A8,2),"Mo","Di","Mi","Do","Fr","Sa","So")</f>
        <v>Mo</v>
      </c>
      <c r="C8" s="10" t="s">
        <v>337</v>
      </c>
      <c r="D8" s="10" t="s">
        <v>32</v>
      </c>
      <c r="E8" s="11" t="n">
        <f aca="true">A8-TODAY()</f>
        <v>37</v>
      </c>
    </row>
    <row r="9" customFormat="false" ht="15" hidden="false" customHeight="false" outlineLevel="0" collapsed="false">
      <c r="A9" s="9" t="n">
        <v>46357</v>
      </c>
      <c r="B9" s="10" t="str">
        <f aca="false">CHOOSE(WEEKDAY(A9,2),"Mo","Di","Mi","Do","Fr","Sa","So")</f>
        <v>Di</v>
      </c>
      <c r="C9" s="10" t="s">
        <v>338</v>
      </c>
      <c r="D9" s="10" t="s">
        <v>331</v>
      </c>
      <c r="E9" s="11" t="n">
        <f aca="true">A9-TODAY()</f>
        <v>38</v>
      </c>
    </row>
    <row r="10" customFormat="false" ht="15" hidden="false" customHeight="false" outlineLevel="0" collapsed="false">
      <c r="A10" s="9" t="n">
        <v>46362</v>
      </c>
      <c r="B10" s="10" t="str">
        <f aca="false">CHOOSE(WEEKDAY(A10,2),"Mo","Di","Mi","Do","Fr","Sa","So")</f>
        <v>So</v>
      </c>
      <c r="C10" s="10" t="s">
        <v>339</v>
      </c>
      <c r="D10" s="10" t="s">
        <v>331</v>
      </c>
      <c r="E10" s="11" t="n">
        <f aca="true">A10-TODAY()</f>
        <v>43</v>
      </c>
    </row>
    <row r="11" customFormat="false" ht="15" hidden="false" customHeight="false" outlineLevel="0" collapsed="false">
      <c r="A11" s="9" t="n">
        <v>46369</v>
      </c>
      <c r="B11" s="10" t="str">
        <f aca="false">CHOOSE(WEEKDAY(A11,2),"Mo","Di","Mi","Do","Fr","Sa","So")</f>
        <v>So</v>
      </c>
      <c r="C11" s="10" t="s">
        <v>340</v>
      </c>
      <c r="D11" s="10" t="s">
        <v>331</v>
      </c>
      <c r="E11" s="11" t="n">
        <f aca="true">A11-TODAY()</f>
        <v>50</v>
      </c>
    </row>
    <row r="12" customFormat="false" ht="15" hidden="false" customHeight="false" outlineLevel="0" collapsed="false">
      <c r="A12" s="9" t="n">
        <v>46376</v>
      </c>
      <c r="B12" s="10" t="str">
        <f aca="false">CHOOSE(WEEKDAY(A12,2),"Mo","Di","Mi","Do","Fr","Sa","So")</f>
        <v>So</v>
      </c>
      <c r="C12" s="10" t="s">
        <v>341</v>
      </c>
      <c r="D12" s="10" t="s">
        <v>331</v>
      </c>
      <c r="E12" s="11" t="n">
        <f aca="true">A12-TODAY()</f>
        <v>57</v>
      </c>
    </row>
    <row r="13" customFormat="false" ht="15" hidden="false" customHeight="false" outlineLevel="0" collapsed="false">
      <c r="A13" s="9" t="n">
        <v>46380</v>
      </c>
      <c r="B13" s="10" t="str">
        <f aca="false">CHOOSE(WEEKDAY(A13,2),"Mo","Di","Mi","Do","Fr","Sa","So")</f>
        <v>Do</v>
      </c>
      <c r="C13" s="10" t="s">
        <v>342</v>
      </c>
      <c r="D13" s="10" t="s">
        <v>331</v>
      </c>
      <c r="E13" s="11" t="n">
        <f aca="true">A13-TODAY()</f>
        <v>61</v>
      </c>
    </row>
  </sheetData>
  <conditionalFormatting sqref="A2:E13">
    <cfRule type="expression" priority="2" aboveAverage="0" equalAverage="0" bottom="0" percent="0" rank="0" text="" dxfId="14">
      <formula>$D2="Harte Frist"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2" t="s">
        <v>343</v>
      </c>
      <c r="B1" s="12" t="s">
        <v>344</v>
      </c>
      <c r="C1" s="12" t="s">
        <v>345</v>
      </c>
      <c r="D1" s="12" t="s">
        <v>346</v>
      </c>
      <c r="E1" s="12" t="s">
        <v>347</v>
      </c>
      <c r="F1" s="12" t="s">
        <v>348</v>
      </c>
      <c r="G1" s="12" t="s">
        <v>349</v>
      </c>
    </row>
    <row r="2" customFormat="false" ht="23.85" hidden="false" customHeight="false" outlineLevel="0" collapsed="false">
      <c r="A2" s="10" t="s">
        <v>350</v>
      </c>
      <c r="B2" s="10" t="s">
        <v>351</v>
      </c>
      <c r="C2" s="10" t="s">
        <v>352</v>
      </c>
      <c r="D2" s="10" t="s">
        <v>353</v>
      </c>
      <c r="E2" s="10" t="s">
        <v>354</v>
      </c>
      <c r="F2" s="10" t="s">
        <v>355</v>
      </c>
      <c r="G2" s="10" t="s">
        <v>356</v>
      </c>
    </row>
    <row r="3" customFormat="false" ht="35.05" hidden="false" customHeight="false" outlineLevel="0" collapsed="false">
      <c r="A3" s="10" t="s">
        <v>357</v>
      </c>
      <c r="B3" s="10" t="s">
        <v>358</v>
      </c>
      <c r="C3" s="10" t="s">
        <v>359</v>
      </c>
      <c r="D3" s="10" t="s">
        <v>360</v>
      </c>
      <c r="E3" s="10" t="s">
        <v>361</v>
      </c>
      <c r="F3" s="10" t="s">
        <v>362</v>
      </c>
      <c r="G3" s="10" t="s">
        <v>363</v>
      </c>
    </row>
    <row r="4" customFormat="false" ht="35.05" hidden="false" customHeight="false" outlineLevel="0" collapsed="false">
      <c r="A4" s="10" t="s">
        <v>364</v>
      </c>
      <c r="B4" s="10" t="s">
        <v>365</v>
      </c>
      <c r="C4" s="10" t="s">
        <v>366</v>
      </c>
      <c r="D4" s="10" t="s">
        <v>367</v>
      </c>
      <c r="E4" s="10" t="s">
        <v>368</v>
      </c>
      <c r="F4" s="10" t="s">
        <v>369</v>
      </c>
      <c r="G4" s="10" t="s">
        <v>370</v>
      </c>
    </row>
    <row r="5" customFormat="false" ht="23.85" hidden="false" customHeight="false" outlineLevel="0" collapsed="false">
      <c r="A5" s="10" t="s">
        <v>371</v>
      </c>
      <c r="B5" s="10" t="s">
        <v>372</v>
      </c>
      <c r="C5" s="10" t="s">
        <v>373</v>
      </c>
      <c r="D5" s="10" t="s">
        <v>374</v>
      </c>
      <c r="E5" s="10" t="s">
        <v>375</v>
      </c>
      <c r="F5" s="10" t="s">
        <v>376</v>
      </c>
      <c r="G5" s="10" t="s">
        <v>370</v>
      </c>
    </row>
    <row r="6" customFormat="false" ht="23.85" hidden="false" customHeight="false" outlineLevel="0" collapsed="false">
      <c r="A6" s="10" t="s">
        <v>377</v>
      </c>
      <c r="B6" s="10" t="s">
        <v>378</v>
      </c>
      <c r="C6" s="10" t="s">
        <v>379</v>
      </c>
      <c r="D6" s="10" t="s">
        <v>380</v>
      </c>
      <c r="E6" s="10" t="s">
        <v>381</v>
      </c>
      <c r="F6" s="10" t="s">
        <v>382</v>
      </c>
      <c r="G6" s="10" t="s">
        <v>356</v>
      </c>
    </row>
    <row r="7" customFormat="false" ht="23.85" hidden="false" customHeight="false" outlineLevel="0" collapsed="false">
      <c r="A7" s="10" t="s">
        <v>383</v>
      </c>
      <c r="B7" s="10" t="s">
        <v>384</v>
      </c>
      <c r="C7" s="10" t="s">
        <v>385</v>
      </c>
      <c r="D7" s="10" t="s">
        <v>386</v>
      </c>
      <c r="E7" s="10" t="s">
        <v>387</v>
      </c>
      <c r="F7" s="10" t="s">
        <v>388</v>
      </c>
      <c r="G7" s="10" t="s">
        <v>389</v>
      </c>
    </row>
    <row r="8" customFormat="false" ht="23.85" hidden="false" customHeight="false" outlineLevel="0" collapsed="false">
      <c r="A8" s="10" t="s">
        <v>390</v>
      </c>
      <c r="B8" s="10" t="s">
        <v>391</v>
      </c>
      <c r="C8" s="10" t="s">
        <v>392</v>
      </c>
      <c r="D8" s="10" t="s">
        <v>393</v>
      </c>
      <c r="E8" s="10" t="s">
        <v>394</v>
      </c>
      <c r="F8" s="10" t="s">
        <v>395</v>
      </c>
      <c r="G8" s="10" t="s">
        <v>396</v>
      </c>
    </row>
    <row r="10" customFormat="false" ht="15" hidden="false" customHeight="false" outlineLevel="0" collapsed="false">
      <c r="A10" s="13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31</v>
      </c>
      <c r="B1" s="4" t="s">
        <v>398</v>
      </c>
      <c r="C1" s="4" t="s">
        <v>399</v>
      </c>
      <c r="D1" s="4" t="s">
        <v>400</v>
      </c>
      <c r="E1" s="4" t="s">
        <v>37</v>
      </c>
      <c r="F1" s="4" t="s">
        <v>401</v>
      </c>
    </row>
    <row r="2" customFormat="false" ht="35.05" hidden="false" customHeight="false" outlineLevel="0" collapsed="false">
      <c r="A2" s="10" t="n">
        <v>1</v>
      </c>
      <c r="B2" s="10" t="s">
        <v>402</v>
      </c>
      <c r="C2" s="10" t="s">
        <v>68</v>
      </c>
      <c r="D2" s="9" t="n">
        <v>46321</v>
      </c>
      <c r="E2" s="10" t="s">
        <v>403</v>
      </c>
      <c r="F2" s="10" t="s">
        <v>404</v>
      </c>
    </row>
    <row r="3" customFormat="false" ht="15" hidden="false" customHeight="false" outlineLevel="0" collapsed="false">
      <c r="A3" s="10" t="n">
        <v>2</v>
      </c>
      <c r="B3" s="10" t="s">
        <v>405</v>
      </c>
      <c r="C3" s="10" t="s">
        <v>68</v>
      </c>
      <c r="D3" s="9" t="n">
        <v>46322</v>
      </c>
      <c r="E3" s="10" t="s">
        <v>11</v>
      </c>
      <c r="F3" s="10" t="s">
        <v>406</v>
      </c>
    </row>
    <row r="4" customFormat="false" ht="15" hidden="false" customHeight="false" outlineLevel="0" collapsed="false">
      <c r="A4" s="10" t="n">
        <v>3</v>
      </c>
      <c r="B4" s="10" t="s">
        <v>407</v>
      </c>
      <c r="C4" s="10" t="s">
        <v>71</v>
      </c>
      <c r="D4" s="9" t="n">
        <v>46322</v>
      </c>
      <c r="E4" s="10" t="s">
        <v>11</v>
      </c>
      <c r="F4" s="10" t="s">
        <v>408</v>
      </c>
    </row>
    <row r="5" customFormat="false" ht="15" hidden="false" customHeight="false" outlineLevel="0" collapsed="false">
      <c r="A5" s="10" t="n">
        <v>4</v>
      </c>
      <c r="B5" s="10" t="s">
        <v>409</v>
      </c>
      <c r="C5" s="10" t="s">
        <v>71</v>
      </c>
      <c r="D5" s="9" t="n">
        <v>46321</v>
      </c>
      <c r="E5" s="10" t="s">
        <v>11</v>
      </c>
      <c r="F5" s="10" t="s">
        <v>410</v>
      </c>
    </row>
    <row r="6" customFormat="false" ht="15" hidden="false" customHeight="false" outlineLevel="0" collapsed="false">
      <c r="A6" s="10" t="n">
        <v>5</v>
      </c>
      <c r="B6" s="10" t="s">
        <v>411</v>
      </c>
      <c r="C6" s="10" t="s">
        <v>44</v>
      </c>
      <c r="D6" s="9" t="n">
        <v>46321</v>
      </c>
      <c r="E6" s="10" t="s">
        <v>11</v>
      </c>
      <c r="F6" s="10"/>
    </row>
    <row r="7" customFormat="false" ht="15" hidden="false" customHeight="false" outlineLevel="0" collapsed="false">
      <c r="A7" s="10" t="n">
        <v>6</v>
      </c>
      <c r="B7" s="10" t="s">
        <v>412</v>
      </c>
      <c r="C7" s="10" t="s">
        <v>44</v>
      </c>
      <c r="D7" s="9" t="n">
        <v>46322</v>
      </c>
      <c r="E7" s="10" t="s">
        <v>403</v>
      </c>
      <c r="F7" s="10" t="s">
        <v>413</v>
      </c>
    </row>
    <row r="8" customFormat="false" ht="15" hidden="false" customHeight="false" outlineLevel="0" collapsed="false">
      <c r="A8" s="10" t="n">
        <v>7</v>
      </c>
      <c r="B8" s="10" t="s">
        <v>414</v>
      </c>
      <c r="C8" s="10" t="s">
        <v>44</v>
      </c>
      <c r="D8" s="9" t="n">
        <v>46320</v>
      </c>
      <c r="E8" s="10" t="s">
        <v>11</v>
      </c>
      <c r="F8" s="10" t="s">
        <v>415</v>
      </c>
    </row>
    <row r="9" customFormat="false" ht="23.85" hidden="false" customHeight="false" outlineLevel="0" collapsed="false">
      <c r="A9" s="10" t="n">
        <v>8</v>
      </c>
      <c r="B9" s="10" t="s">
        <v>416</v>
      </c>
      <c r="C9" s="10" t="s">
        <v>44</v>
      </c>
      <c r="D9" s="9" t="n">
        <v>46320</v>
      </c>
      <c r="E9" s="10" t="s">
        <v>11</v>
      </c>
      <c r="F9" s="10" t="s">
        <v>417</v>
      </c>
    </row>
    <row r="10" customFormat="false" ht="15" hidden="false" customHeight="false" outlineLevel="0" collapsed="false">
      <c r="A10" s="10" t="n">
        <v>9</v>
      </c>
      <c r="B10" s="10" t="s">
        <v>418</v>
      </c>
      <c r="C10" s="10" t="s">
        <v>44</v>
      </c>
      <c r="D10" s="9" t="n">
        <v>46321</v>
      </c>
      <c r="E10" s="10" t="s">
        <v>11</v>
      </c>
      <c r="F10" s="10" t="s">
        <v>78</v>
      </c>
    </row>
    <row r="11" customFormat="false" ht="15" hidden="false" customHeight="false" outlineLevel="0" collapsed="false">
      <c r="A11" s="10" t="n">
        <v>10</v>
      </c>
      <c r="B11" s="10" t="s">
        <v>419</v>
      </c>
      <c r="C11" s="10" t="s">
        <v>44</v>
      </c>
      <c r="D11" s="9" t="n">
        <v>46322</v>
      </c>
      <c r="E11" s="10" t="s">
        <v>11</v>
      </c>
      <c r="F11" s="10" t="s">
        <v>420</v>
      </c>
    </row>
    <row r="12" customFormat="false" ht="15" hidden="false" customHeight="false" outlineLevel="0" collapsed="false">
      <c r="A12" s="10" t="n">
        <v>11</v>
      </c>
      <c r="B12" s="10" t="s">
        <v>421</v>
      </c>
      <c r="C12" s="10" t="s">
        <v>44</v>
      </c>
      <c r="D12" s="9" t="n">
        <v>46323</v>
      </c>
      <c r="E12" s="10" t="s">
        <v>403</v>
      </c>
      <c r="F12" s="10" t="s">
        <v>422</v>
      </c>
    </row>
    <row r="13" customFormat="false" ht="23.85" hidden="false" customHeight="false" outlineLevel="0" collapsed="false">
      <c r="A13" s="10" t="n">
        <v>12</v>
      </c>
      <c r="B13" s="10" t="s">
        <v>423</v>
      </c>
      <c r="C13" s="10" t="s">
        <v>44</v>
      </c>
      <c r="D13" s="9" t="n">
        <v>46327</v>
      </c>
      <c r="E13" s="10" t="s">
        <v>403</v>
      </c>
      <c r="F13" s="10" t="s">
        <v>424</v>
      </c>
    </row>
    <row r="14" customFormat="false" ht="15" hidden="false" customHeight="false" outlineLevel="0" collapsed="false">
      <c r="A14" s="10" t="n">
        <v>13</v>
      </c>
      <c r="B14" s="10" t="s">
        <v>425</v>
      </c>
      <c r="C14" s="10" t="s">
        <v>71</v>
      </c>
      <c r="D14" s="9" t="n">
        <v>46334</v>
      </c>
      <c r="E14" s="10" t="s">
        <v>403</v>
      </c>
      <c r="F14" s="10" t="s">
        <v>426</v>
      </c>
    </row>
    <row r="15" customFormat="false" ht="23.85" hidden="false" customHeight="false" outlineLevel="0" collapsed="false">
      <c r="A15" s="10" t="n">
        <v>14</v>
      </c>
      <c r="B15" s="10" t="s">
        <v>427</v>
      </c>
      <c r="C15" s="10" t="s">
        <v>428</v>
      </c>
      <c r="D15" s="9" t="n">
        <v>46327</v>
      </c>
      <c r="E15" s="10" t="s">
        <v>403</v>
      </c>
      <c r="F15" s="10" t="s">
        <v>429</v>
      </c>
    </row>
    <row r="16" customFormat="false" ht="15" hidden="false" customHeight="false" outlineLevel="0" collapsed="false">
      <c r="A16" s="10" t="n">
        <v>15</v>
      </c>
      <c r="B16" s="10" t="s">
        <v>430</v>
      </c>
      <c r="C16" s="10" t="s">
        <v>44</v>
      </c>
      <c r="D16" s="9" t="n">
        <v>46327</v>
      </c>
      <c r="E16" s="10" t="s">
        <v>403</v>
      </c>
      <c r="F16" s="10" t="s">
        <v>431</v>
      </c>
    </row>
    <row r="17" customFormat="false" ht="15" hidden="false" customHeight="false" outlineLevel="0" collapsed="false">
      <c r="A17" s="10" t="n">
        <v>16</v>
      </c>
      <c r="B17" s="10" t="s">
        <v>432</v>
      </c>
      <c r="C17" s="10" t="s">
        <v>44</v>
      </c>
      <c r="D17" s="9" t="n">
        <v>46321</v>
      </c>
      <c r="E17" s="10" t="s">
        <v>403</v>
      </c>
      <c r="F17" s="10" t="s">
        <v>433</v>
      </c>
    </row>
    <row r="18" customFormat="false" ht="15" hidden="false" customHeight="false" outlineLevel="0" collapsed="false">
      <c r="A18" s="10" t="n">
        <v>17</v>
      </c>
      <c r="B18" s="10" t="s">
        <v>434</v>
      </c>
      <c r="C18" s="10" t="s">
        <v>68</v>
      </c>
      <c r="D18" s="9" t="n">
        <v>46322</v>
      </c>
      <c r="E18" s="10" t="s">
        <v>11</v>
      </c>
      <c r="F18" s="10" t="s">
        <v>435</v>
      </c>
    </row>
    <row r="19" customFormat="false" ht="15" hidden="false" customHeight="false" outlineLevel="0" collapsed="false">
      <c r="A19" s="10" t="n">
        <v>18</v>
      </c>
      <c r="B19" s="10" t="s">
        <v>436</v>
      </c>
      <c r="C19" s="10" t="s">
        <v>44</v>
      </c>
      <c r="D19" s="9" t="n">
        <v>46321</v>
      </c>
      <c r="E19" s="10" t="s">
        <v>403</v>
      </c>
      <c r="F19" s="10" t="s">
        <v>437</v>
      </c>
    </row>
  </sheetData>
  <dataValidations count="1">
    <dataValidation allowBlank="false" errorStyle="stop" operator="between" showDropDown="false" showErrorMessage="false" showInputMessage="false" sqref="E2:E19" type="list">
      <formula1>"offen,beantwortet"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2026-10-24T22:24:05Z</dcterms:created>
  <dc:creator>openpyxl</dc:creator>
  <dc:description/>
  <dc:language>en-US</dc:language>
  <cp:lastModifiedBy/>
  <dcterms:modified xsi:type="dcterms:W3CDTF">2026-10-24T22:24:05Z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